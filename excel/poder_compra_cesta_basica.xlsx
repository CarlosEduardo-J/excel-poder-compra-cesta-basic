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ário\OneDrive\Documentos\excel-poder-compra-cesta-basica\excel\"/>
    </mc:Choice>
  </mc:AlternateContent>
  <xr:revisionPtr revIDLastSave="0" documentId="13_ncr:1_{AF261E57-1F9B-4166-8DE6-5D30564B7BDC}" xr6:coauthVersionLast="47" xr6:coauthVersionMax="47" xr10:uidLastSave="{00000000-0000-0000-0000-000000000000}"/>
  <bookViews>
    <workbookView xWindow="-120" yWindow="-120" windowWidth="20730" windowHeight="11040" firstSheet="1" activeTab="3" xr2:uid="{E7C5FDCD-0865-48D2-8802-475B5C1B95E2}"/>
  </bookViews>
  <sheets>
    <sheet name="checagem_linhas" sheetId="4" state="hidden" r:id="rId1"/>
    <sheet name="calculos" sheetId="7" r:id="rId2"/>
    <sheet name="ranking" sheetId="8" r:id="rId3"/>
    <sheet name="painel" sheetId="9" r:id="rId4"/>
    <sheet name="cesta_capitais" sheetId="6" r:id="rId5"/>
    <sheet name="salario_minimo" sheetId="5" state="hidden" r:id="rId6"/>
    <sheet name="base_cesta_salario" sheetId="3" state="hidden" r:id="rId7"/>
    <sheet name="dicionario" sheetId="1" r:id="rId8"/>
  </sheets>
  <definedNames>
    <definedName name="DadosExternos_1" localSheetId="6" hidden="1">base_cesta_salario!$A$1:$D$2141</definedName>
    <definedName name="DadosExternos_2" localSheetId="5" hidden="1">salario_minimo!$A$1:$B$127</definedName>
    <definedName name="DadosExternos_3" localSheetId="4" hidden="1">'cesta_capitais'!$A$1:$G$2015</definedName>
    <definedName name="SegmentaçãodeDados_ano">#N/A</definedName>
    <definedName name="SegmentaçãodeDados_capital">#N/A</definedName>
  </definedNames>
  <calcPr calcId="191029"/>
  <pivotCaches>
    <pivotCache cacheId="0" r:id="rId9"/>
    <pivotCache cacheId="1" r:id="rId10"/>
  </pivotCaches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9" l="1"/>
  <c r="H5" i="9"/>
  <c r="E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177E06-C43A-45B1-935D-27CB3C90172D}" keepAlive="1" name="Consulta - base_cesta_salario" description="Conexão com a consulta 'base_cesta_salario' na pasta de trabalho." type="5" refreshedVersion="8" background="1" saveData="1">
    <dbPr connection="Provider=Microsoft.Mashup.OleDb.1;Data Source=$Workbook$;Location=base_cesta_salario;Extended Properties=&quot;&quot;" command="SELECT * FROM [base_cesta_salario]"/>
  </connection>
  <connection id="2" xr16:uid="{43810FAD-B46D-4FF6-9AA0-46EA1B350BD0}" keepAlive="1" name="Consulta - cesta_capitais" description="Conexão com a consulta 'cesta_capitais' na pasta de trabalho." type="5" refreshedVersion="8" background="1" saveData="1">
    <dbPr connection="Provider=Microsoft.Mashup.OleDb.1;Data Source=$Workbook$;Location=cesta_capitais;Extended Properties=&quot;&quot;" command="SELECT * FROM [cesta_capitais]"/>
  </connection>
  <connection id="3" xr16:uid="{1BFA8A4E-5A94-440C-B07E-7FFD01850C29}" keepAlive="1" name="Consulta - fnSGS" description="Conexão com a consulta 'fnSGS' na pasta de trabalho." type="5" refreshedVersion="0" background="1">
    <dbPr connection="Provider=Microsoft.Mashup.OleDb.1;Data Source=$Workbook$;Location=fnSGS;Extended Properties=&quot;&quot;" command="SELECT * FROM [fnSGS]"/>
  </connection>
  <connection id="4" xr16:uid="{D3ACD0A6-3B0D-44BD-9AFE-1963A06A6136}" keepAlive="1" name="Consulta - salario_minimo" description="Conexão com a consulta 'salario_minimo' na pasta de trabalho." type="5" refreshedVersion="8" background="1" saveData="1">
    <dbPr connection="Provider=Microsoft.Mashup.OleDb.1;Data Source=$Workbook$;Location=salario_minimo;Extended Properties=&quot;&quot;" command="SELECT * FROM [salario_minimo]"/>
  </connection>
</connections>
</file>

<file path=xl/sharedStrings.xml><?xml version="1.0" encoding="utf-8"?>
<sst xmlns="http://schemas.openxmlformats.org/spreadsheetml/2006/main" count="6414" uniqueCount="43">
  <si>
    <t>codigo_sgs</t>
  </si>
  <si>
    <t>serie</t>
  </si>
  <si>
    <t>tipo</t>
  </si>
  <si>
    <t>fonte</t>
  </si>
  <si>
    <t>Aracaju</t>
  </si>
  <si>
    <t>cesta</t>
  </si>
  <si>
    <t>DIEESE via BCB/SGS</t>
  </si>
  <si>
    <t>Belém</t>
  </si>
  <si>
    <t>Belo Horizonte</t>
  </si>
  <si>
    <t>Brasília</t>
  </si>
  <si>
    <t>Curitiba</t>
  </si>
  <si>
    <t>Florianópolis</t>
  </si>
  <si>
    <t>Fortaleza</t>
  </si>
  <si>
    <t>Goiânia</t>
  </si>
  <si>
    <t>João Pessoa</t>
  </si>
  <si>
    <t>Natal</t>
  </si>
  <si>
    <t>Porto Alegre</t>
  </si>
  <si>
    <t>Recife</t>
  </si>
  <si>
    <t>Rio de Janeiro</t>
  </si>
  <si>
    <t>Salvador</t>
  </si>
  <si>
    <t>São Paulo</t>
  </si>
  <si>
    <t>Vitória</t>
  </si>
  <si>
    <t>Salário mínimo</t>
  </si>
  <si>
    <t>salario_minimo</t>
  </si>
  <si>
    <t>MTb via BCB/SGS</t>
  </si>
  <si>
    <t>data</t>
  </si>
  <si>
    <t>valor</t>
  </si>
  <si>
    <t>Rótulos de Linha</t>
  </si>
  <si>
    <t>Total Geral</t>
  </si>
  <si>
    <t>Contagem de data</t>
  </si>
  <si>
    <t>capital</t>
  </si>
  <si>
    <t>cestas_por_salario</t>
  </si>
  <si>
    <t>pct_salario_cesta</t>
  </si>
  <si>
    <t>ano</t>
  </si>
  <si>
    <t>Rótulos de Coluna</t>
  </si>
  <si>
    <t>Média de cestas_por_salario</t>
  </si>
  <si>
    <t>Poder de compra do salário mínimo: quantas cestas básicas ele compra?</t>
  </si>
  <si>
    <t>16 capitais brasileiras, jan/2015 a jun/2025. Fonte: DIEESE e Ministério do Trabalho via Banco Central (SGS)</t>
  </si>
  <si>
    <t>Cestas por salário mínimo</t>
  </si>
  <si>
    <t>Curitiba, média de 2024</t>
  </si>
  <si>
    <t>Variação do poder de compra</t>
  </si>
  <si>
    <t>Curitiba, 2015 a 2024</t>
  </si>
  <si>
    <t>Peso da cesta no salário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</si>
</sst>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rgb="FF262626"/>
      <name val="Calibri"/>
      <family val="2"/>
      <scheme val="minor"/>
    </font>
    <font>
      <sz val="10"/>
      <color rgb="FF595959"/>
      <name val="Calibri"/>
      <family val="2"/>
      <scheme val="minor"/>
    </font>
    <font>
      <sz val="1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2" applyFont="1"/>
    <xf numFmtId="2" fontId="0" fillId="0" borderId="0" xfId="0" applyNumberFormat="1"/>
    <xf numFmtId="44" fontId="0" fillId="0" borderId="0" xfId="1" applyFont="1"/>
    <xf numFmtId="0" fontId="0" fillId="2" borderId="0" xfId="0" applyFill="1"/>
    <xf numFmtId="0" fontId="5" fillId="2" borderId="0" xfId="0" applyFont="1" applyFill="1"/>
    <xf numFmtId="0" fontId="4" fillId="2" borderId="0" xfId="0" applyFont="1" applyFill="1"/>
    <xf numFmtId="0" fontId="6" fillId="3" borderId="2" xfId="0" applyFont="1" applyFill="1" applyBorder="1" applyAlignment="1">
      <alignment horizontal="centerContinuous" vertical="center"/>
    </xf>
    <xf numFmtId="0" fontId="6" fillId="3" borderId="1" xfId="0" applyFont="1" applyFill="1" applyBorder="1" applyAlignment="1">
      <alignment horizontal="centerContinuous" vertical="center"/>
    </xf>
    <xf numFmtId="2" fontId="7" fillId="3" borderId="3" xfId="0" applyNumberFormat="1" applyFont="1" applyFill="1" applyBorder="1" applyAlignment="1">
      <alignment horizontal="centerContinuous" vertical="center"/>
    </xf>
    <xf numFmtId="2" fontId="7" fillId="3" borderId="4" xfId="0" applyNumberFormat="1" applyFont="1" applyFill="1" applyBorder="1" applyAlignment="1">
      <alignment horizontal="centerContinuous" vertical="center"/>
    </xf>
    <xf numFmtId="0" fontId="6" fillId="3" borderId="5" xfId="0" applyFont="1" applyFill="1" applyBorder="1" applyAlignment="1">
      <alignment horizontal="centerContinuous" vertical="center"/>
    </xf>
    <xf numFmtId="0" fontId="6" fillId="3" borderId="6" xfId="0" applyFont="1" applyFill="1" applyBorder="1" applyAlignment="1">
      <alignment horizontal="centerContinuous" vertical="center"/>
    </xf>
    <xf numFmtId="0" fontId="6" fillId="2" borderId="0" xfId="0" applyFont="1" applyFill="1"/>
    <xf numFmtId="0" fontId="8" fillId="3" borderId="1" xfId="0" applyFont="1" applyFill="1" applyBorder="1" applyAlignment="1">
      <alignment horizontal="centerContinuous" vertical="center"/>
    </xf>
    <xf numFmtId="0" fontId="8" fillId="3" borderId="2" xfId="0" applyFont="1" applyFill="1" applyBorder="1" applyAlignment="1">
      <alignment horizontal="centerContinuous" vertical="center"/>
    </xf>
    <xf numFmtId="0" fontId="6" fillId="0" borderId="1" xfId="0" applyFont="1" applyBorder="1" applyAlignment="1">
      <alignment horizontal="centerContinuous" vertical="center"/>
    </xf>
    <xf numFmtId="0" fontId="6" fillId="0" borderId="5" xfId="0" applyFont="1" applyBorder="1" applyAlignment="1">
      <alignment horizontal="centerContinuous" vertical="center"/>
    </xf>
    <xf numFmtId="9" fontId="7" fillId="3" borderId="3" xfId="2" applyFont="1" applyFill="1" applyBorder="1" applyAlignment="1">
      <alignment horizontal="centerContinuous" vertical="center"/>
    </xf>
    <xf numFmtId="9" fontId="7" fillId="3" borderId="4" xfId="2" applyFont="1" applyFill="1" applyBorder="1" applyAlignment="1">
      <alignment horizontal="centerContinuous" vertical="center"/>
    </xf>
  </cellXfs>
  <cellStyles count="3">
    <cellStyle name="Moeda" xfId="1" builtinId="4"/>
    <cellStyle name="Normal" xfId="0" builtinId="0"/>
    <cellStyle name="Porcentagem" xfId="2" builtinId="5"/>
  </cellStyles>
  <dxfs count="13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2" formatCode="0.00"/>
    </dxf>
    <dxf>
      <numFmt numFmtId="19" formatCode="dd/mm/yyyy"/>
    </dxf>
    <dxf>
      <numFmt numFmtId="0" formatCode="General"/>
    </dxf>
  </dxfs>
  <tableStyles count="0" defaultTableStyle="TableStyleMedium2" defaultPivotStyle="PivotStyleLight16"/>
  <colors>
    <mruColors>
      <color rgb="FFBFBFBF"/>
      <color rgb="FFF2F2F2"/>
      <color rgb="FF595959"/>
      <color rgb="FF26262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[poder_compra_cesta_basica.xlsx]calculos!Tabela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calculos!$B$3:$B$4</c:f>
              <c:strCache>
                <c:ptCount val="1"/>
                <c:pt idx="0">
                  <c:v>Aracaju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calculos!$A$5:$A$15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calculos!$B$5:$B$15</c:f>
              <c:numCache>
                <c:formatCode>0.00</c:formatCode>
                <c:ptCount val="11"/>
                <c:pt idx="0">
                  <c:v>2.819742180604734</c:v>
                </c:pt>
                <c:pt idx="1">
                  <c:v>2.4371021416645529</c:v>
                </c:pt>
                <c:pt idx="2">
                  <c:v>2.6553366612543341</c:v>
                </c:pt>
                <c:pt idx="3">
                  <c:v>2.7553505688487689</c:v>
                </c:pt>
                <c:pt idx="4">
                  <c:v>2.7722817015943235</c:v>
                </c:pt>
                <c:pt idx="5">
                  <c:v>2.5607098792882179</c:v>
                </c:pt>
                <c:pt idx="6">
                  <c:v>2.3632904769694192</c:v>
                </c:pt>
                <c:pt idx="7">
                  <c:v>2.2928173056911825</c:v>
                </c:pt>
                <c:pt idx="8">
                  <c:v>2.4253925415811266</c:v>
                </c:pt>
                <c:pt idx="9">
                  <c:v>2.6136711848912193</c:v>
                </c:pt>
                <c:pt idx="10">
                  <c:v>2.6496860485551301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2-41B9-8116-C1A5111F8286}"/>
            </c:ext>
          </c:extLst>
        </c:ser>
        <c:ser>
          <c:idx val="1"/>
          <c:order val="1"/>
          <c:tx>
            <c:strRef>
              <c:f>calculos!$C$3:$C$4</c:f>
              <c:strCache>
                <c:ptCount val="1"/>
                <c:pt idx="0">
                  <c:v>Curitiba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calculos!$A$5:$A$15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calculos!$C$5:$C$15</c:f>
              <c:numCache>
                <c:formatCode>0.00</c:formatCode>
                <c:ptCount val="11"/>
                <c:pt idx="0">
                  <c:v>2.2042741922342444</c:v>
                </c:pt>
                <c:pt idx="1">
                  <c:v>2.1331970523029522</c:v>
                </c:pt>
                <c:pt idx="2">
                  <c:v>2.4030273261941391</c:v>
                </c:pt>
                <c:pt idx="3">
                  <c:v>2.3827338321280624</c:v>
                </c:pt>
                <c:pt idx="4">
                  <c:v>2.2969961280078222</c:v>
                </c:pt>
                <c:pt idx="5">
                  <c:v>2.0705383126998336</c:v>
                </c:pt>
                <c:pt idx="6">
                  <c:v>1.8216257093868713</c:v>
                </c:pt>
                <c:pt idx="7">
                  <c:v>1.7541205515733573</c:v>
                </c:pt>
                <c:pt idx="8">
                  <c:v>1.9080484484336149</c:v>
                </c:pt>
                <c:pt idx="9">
                  <c:v>1.9417493342946817</c:v>
                </c:pt>
                <c:pt idx="10">
                  <c:v>1.9655132131687141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D7D2-41B9-8116-C1A5111F8286}"/>
            </c:ext>
          </c:extLst>
        </c:ser>
        <c:ser>
          <c:idx val="2"/>
          <c:order val="2"/>
          <c:tx>
            <c:strRef>
              <c:f>calculos!$D$3:$D$4</c:f>
              <c:strCache>
                <c:ptCount val="1"/>
                <c:pt idx="0">
                  <c:v>São Paulo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calculos!$A$5:$A$15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calculos!$D$5:$D$15</c:f>
              <c:numCache>
                <c:formatCode>0.00</c:formatCode>
                <c:ptCount val="11"/>
                <c:pt idx="0">
                  <c:v>2.0265348255247821</c:v>
                </c:pt>
                <c:pt idx="1">
                  <c:v>1.9295165999099531</c:v>
                </c:pt>
                <c:pt idx="2">
                  <c:v>2.1559922474743165</c:v>
                </c:pt>
                <c:pt idx="3">
                  <c:v>2.1480859894873299</c:v>
                </c:pt>
                <c:pt idx="4">
                  <c:v>2.0379451737683953</c:v>
                </c:pt>
                <c:pt idx="5">
                  <c:v>1.8793531236290792</c:v>
                </c:pt>
                <c:pt idx="6">
                  <c:v>1.6825463931359976</c:v>
                </c:pt>
                <c:pt idx="7">
                  <c:v>1.5919932154003671</c:v>
                </c:pt>
                <c:pt idx="8">
                  <c:v>1.7110089254433962</c:v>
                </c:pt>
                <c:pt idx="9">
                  <c:v>1.7365201646631858</c:v>
                </c:pt>
                <c:pt idx="10">
                  <c:v>1.7254521570752495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D7D2-41B9-8116-C1A5111F8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5942024"/>
        <c:axId val="371037032"/>
      </c:lineChart>
      <c:catAx>
        <c:axId val="365942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1037032"/>
        <c:crosses val="autoZero"/>
        <c:auto val="1"/>
        <c:lblAlgn val="ctr"/>
        <c:lblOffset val="100"/>
        <c:noMultiLvlLbl val="0"/>
      </c:catAx>
      <c:valAx>
        <c:axId val="371037032"/>
        <c:scaling>
          <c:orientation val="minMax"/>
          <c:min val="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5942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[poder_compra_cesta_basica.xlsx]ranking!Tabela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Cestas por salário mínimo, por capital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ranking!$B$3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ranking!$A$4:$A$19</c:f>
              <c:strCache>
                <c:ptCount val="16"/>
                <c:pt idx="0">
                  <c:v>Aracaju</c:v>
                </c:pt>
                <c:pt idx="1">
                  <c:v>Salvador</c:v>
                </c:pt>
                <c:pt idx="2">
                  <c:v>Recife</c:v>
                </c:pt>
                <c:pt idx="3">
                  <c:v>João Pessoa</c:v>
                </c:pt>
                <c:pt idx="4">
                  <c:v>Natal</c:v>
                </c:pt>
                <c:pt idx="5">
                  <c:v>Belém</c:v>
                </c:pt>
                <c:pt idx="6">
                  <c:v>Fortaleza</c:v>
                </c:pt>
                <c:pt idx="7">
                  <c:v>Belo Horizonte</c:v>
                </c:pt>
                <c:pt idx="8">
                  <c:v>Goiânia</c:v>
                </c:pt>
                <c:pt idx="9">
                  <c:v>Vitória</c:v>
                </c:pt>
                <c:pt idx="10">
                  <c:v>Curitiba</c:v>
                </c:pt>
                <c:pt idx="11">
                  <c:v>Brasília</c:v>
                </c:pt>
                <c:pt idx="12">
                  <c:v>Porto Alegre</c:v>
                </c:pt>
                <c:pt idx="13">
                  <c:v>Rio de Janeiro</c:v>
                </c:pt>
                <c:pt idx="14">
                  <c:v>Florianópolis</c:v>
                </c:pt>
                <c:pt idx="15">
                  <c:v>São Paulo</c:v>
                </c:pt>
              </c:strCache>
            </c:strRef>
          </c:cat>
          <c:val>
            <c:numRef>
              <c:f>ranking!$B$4:$B$19</c:f>
              <c:numCache>
                <c:formatCode>0.00</c:formatCode>
                <c:ptCount val="16"/>
                <c:pt idx="0">
                  <c:v>2.6496860485551301</c:v>
                </c:pt>
                <c:pt idx="1">
                  <c:v>2.4176166491851157</c:v>
                </c:pt>
                <c:pt idx="2">
                  <c:v>2.412774729917873</c:v>
                </c:pt>
                <c:pt idx="3">
                  <c:v>2.4007233869968827</c:v>
                </c:pt>
                <c:pt idx="4">
                  <c:v>2.3611095502383512</c:v>
                </c:pt>
                <c:pt idx="5">
                  <c:v>2.1363837353705728</c:v>
                </c:pt>
                <c:pt idx="6">
                  <c:v>2.0953598205731372</c:v>
                </c:pt>
                <c:pt idx="7">
                  <c:v>2.0702464849487012</c:v>
                </c:pt>
                <c:pt idx="8">
                  <c:v>2.015043975634621</c:v>
                </c:pt>
                <c:pt idx="9">
                  <c:v>1.9794321432573969</c:v>
                </c:pt>
                <c:pt idx="10">
                  <c:v>1.9655132131687141</c:v>
                </c:pt>
                <c:pt idx="11">
                  <c:v>1.9654767924498255</c:v>
                </c:pt>
                <c:pt idx="12">
                  <c:v>1.8930636765246536</c:v>
                </c:pt>
                <c:pt idx="13">
                  <c:v>1.8245230670070904</c:v>
                </c:pt>
                <c:pt idx="14">
                  <c:v>1.8110628057641023</c:v>
                </c:pt>
                <c:pt idx="15">
                  <c:v>1.7254521570752495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7E-43F4-ABA5-B0D47BE58E3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97662304"/>
        <c:axId val="497662664"/>
      </c:barChart>
      <c:catAx>
        <c:axId val="4976623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7662664"/>
        <c:crosses val="autoZero"/>
        <c:auto val="1"/>
        <c:lblAlgn val="ctr"/>
        <c:lblOffset val="100"/>
        <c:noMultiLvlLbl val="0"/>
      </c:catAx>
      <c:valAx>
        <c:axId val="497662664"/>
        <c:scaling>
          <c:orientation val="minMax"/>
        </c:scaling>
        <c:delete val="0"/>
        <c:axPos val="t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766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16</xdr:row>
      <xdr:rowOff>10584</xdr:rowOff>
    </xdr:from>
    <xdr:to>
      <xdr:col>6</xdr:col>
      <xdr:colOff>819150</xdr:colOff>
      <xdr:row>32</xdr:row>
      <xdr:rowOff>80434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1474EE-99D0-0A8F-1480-77C90CE848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85725</xdr:colOff>
      <xdr:row>15</xdr:row>
      <xdr:rowOff>171450</xdr:rowOff>
    </xdr:from>
    <xdr:to>
      <xdr:col>10</xdr:col>
      <xdr:colOff>3176</xdr:colOff>
      <xdr:row>29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apital">
              <a:extLst>
                <a:ext uri="{FF2B5EF4-FFF2-40B4-BE49-F238E27FC236}">
                  <a16:creationId xmlns:a16="http://schemas.microsoft.com/office/drawing/2014/main" id="{0379CB69-6F49-F1CD-B798-C410027566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pit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028950"/>
              <a:ext cx="1822451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209550</xdr:colOff>
      <xdr:row>2</xdr:row>
      <xdr:rowOff>19050</xdr:rowOff>
    </xdr:from>
    <xdr:to>
      <xdr:col>5</xdr:col>
      <xdr:colOff>209550</xdr:colOff>
      <xdr:row>15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no">
              <a:extLst>
                <a:ext uri="{FF2B5EF4-FFF2-40B4-BE49-F238E27FC236}">
                  <a16:creationId xmlns:a16="http://schemas.microsoft.com/office/drawing/2014/main" id="{32C53945-3D8B-18B5-913B-E72359AC44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94050" y="400050"/>
              <a:ext cx="18415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200023</xdr:colOff>
      <xdr:row>19</xdr:row>
      <xdr:rowOff>123825</xdr:rowOff>
    </xdr:from>
    <xdr:to>
      <xdr:col>9</xdr:col>
      <xdr:colOff>550334</xdr:colOff>
      <xdr:row>40</xdr:row>
      <xdr:rowOff>74082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BAFC6E0-CC28-EF1C-41B4-0DD3B3508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ário" refreshedDate="46319.745263425924" createdVersion="8" refreshedVersion="8" minRefreshableVersion="3" recordCount="2140" xr:uid="{D6CAFBB4-EE40-4E6B-AD34-95FD41DE22C0}">
  <cacheSource type="worksheet">
    <worksheetSource name="base_cesta_salario"/>
  </cacheSource>
  <cacheFields count="4">
    <cacheField name="serie" numFmtId="0">
      <sharedItems count="17">
        <s v="Aracaju"/>
        <s v="Belém"/>
        <s v="Belo Horizonte"/>
        <s v="Brasília"/>
        <s v="Curitiba"/>
        <s v="Florianópolis"/>
        <s v="Fortaleza"/>
        <s v="Goiânia"/>
        <s v="João Pessoa"/>
        <s v="Natal"/>
        <s v="Porto Alegre"/>
        <s v="Recife"/>
        <s v="Rio de Janeiro"/>
        <s v="Salvador"/>
        <s v="São Paulo"/>
        <s v="Vitória"/>
        <s v="Salário mínimo"/>
      </sharedItems>
    </cacheField>
    <cacheField name="tipo" numFmtId="0">
      <sharedItems/>
    </cacheField>
    <cacheField name="data" numFmtId="14">
      <sharedItems containsSemiMixedTypes="0" containsNonDate="0" containsDate="1" containsString="0" minDate="2015-01-01T00:00:00" maxDate="2025-06-02T00:00:00"/>
    </cacheField>
    <cacheField name="valor" numFmtId="0">
      <sharedItems containsSemiMixedTypes="0" containsString="0" containsNumber="1" minValue="264.67" maxValue="15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ário" refreshedDate="46320.732230671296" createdVersion="8" refreshedVersion="8" minRefreshableVersion="3" recordCount="2014" xr:uid="{9E700F2F-DBF1-4960-8C17-6BC94DA2ADBC}">
  <cacheSource type="worksheet">
    <worksheetSource name="cesta_capitais"/>
  </cacheSource>
  <cacheFields count="7">
    <cacheField name="capital" numFmtId="0">
      <sharedItems count="16">
        <s v="Aracaju"/>
        <s v="Belo Horizonte"/>
        <s v="Belém"/>
        <s v="Brasília"/>
        <s v="Curitiba"/>
        <s v="Florianópolis"/>
        <s v="Fortaleza"/>
        <s v="Goiânia"/>
        <s v="João Pessoa"/>
        <s v="Natal"/>
        <s v="Porto Alegre"/>
        <s v="Recife"/>
        <s v="Rio de Janeiro"/>
        <s v="Salvador"/>
        <s v="São Paulo"/>
        <s v="Vitória"/>
      </sharedItems>
    </cacheField>
    <cacheField name="data" numFmtId="14">
      <sharedItems containsSemiMixedTypes="0" containsNonDate="0" containsDate="1" containsString="0" minDate="2015-01-01T00:00:00" maxDate="2025-06-02T00:00:00"/>
    </cacheField>
    <cacheField name="cesta" numFmtId="44">
      <sharedItems containsSemiMixedTypes="0" containsString="0" containsNumber="1" minValue="264.67" maxValue="909.25"/>
    </cacheField>
    <cacheField name="salario_minimo" numFmtId="0">
      <sharedItems containsSemiMixedTypes="0" containsString="0" containsNumber="1" containsInteger="1" minValue="788" maxValue="1518"/>
    </cacheField>
    <cacheField name="cestas_por_salario" numFmtId="2">
      <sharedItems containsSemiMixedTypes="0" containsString="0" containsNumber="1" minValue="1.5074814363362727" maxValue="3.070674748469278"/>
    </cacheField>
    <cacheField name="pct_salario_cesta" numFmtId="9">
      <sharedItems containsSemiMixedTypes="0" containsString="0" containsNumber="1" minValue="0.32566132264529057" maxValue="0.66335808580858091"/>
    </cacheField>
    <cacheField name="ano" numFmtId="0">
      <sharedItems containsSemiMixedTypes="0" containsString="0" containsNumber="1" containsInteger="1" minValue="2015" maxValue="2025" count="11"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</cacheFields>
  <extLst>
    <ext xmlns:x14="http://schemas.microsoft.com/office/spreadsheetml/2009/9/main" uri="{725AE2AE-9491-48be-B2B4-4EB974FC3084}">
      <x14:pivotCacheDefinition pivotCacheId="76242031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40">
  <r>
    <x v="0"/>
    <s v="cesta"/>
    <d v="2015-01-01T00:00:00"/>
    <n v="264.83999999999997"/>
  </r>
  <r>
    <x v="0"/>
    <s v="cesta"/>
    <d v="2015-02-01T00:00:00"/>
    <n v="264.67"/>
  </r>
  <r>
    <x v="0"/>
    <s v="cesta"/>
    <d v="2015-03-01T00:00:00"/>
    <n v="273.20999999999998"/>
  </r>
  <r>
    <x v="0"/>
    <s v="cesta"/>
    <d v="2015-04-01T00:00:00"/>
    <n v="281.61"/>
  </r>
  <r>
    <x v="0"/>
    <s v="cesta"/>
    <d v="2015-05-01T00:00:00"/>
    <n v="277.16000000000003"/>
  </r>
  <r>
    <x v="0"/>
    <s v="cesta"/>
    <d v="2015-06-01T00:00:00"/>
    <n v="275.42"/>
  </r>
  <r>
    <x v="0"/>
    <s v="cesta"/>
    <d v="2015-07-01T00:00:00"/>
    <n v="285.44"/>
  </r>
  <r>
    <x v="0"/>
    <s v="cesta"/>
    <d v="2015-08-01T00:00:00"/>
    <n v="283.02"/>
  </r>
  <r>
    <x v="0"/>
    <s v="cesta"/>
    <d v="2015-09-01T00:00:00"/>
    <n v="280.26"/>
  </r>
  <r>
    <x v="0"/>
    <s v="cesta"/>
    <d v="2015-10-01T00:00:00"/>
    <n v="282.87"/>
  </r>
  <r>
    <x v="0"/>
    <s v="cesta"/>
    <d v="2015-11-01T00:00:00"/>
    <n v="291.8"/>
  </r>
  <r>
    <x v="0"/>
    <s v="cesta"/>
    <d v="2015-12-01T00:00:00"/>
    <n v="296.82"/>
  </r>
  <r>
    <x v="0"/>
    <s v="cesta"/>
    <d v="2016-01-01T00:00:00"/>
    <n v="350.73"/>
  </r>
  <r>
    <x v="0"/>
    <s v="cesta"/>
    <d v="2016-02-01T00:00:00"/>
    <n v="362.09"/>
  </r>
  <r>
    <x v="0"/>
    <s v="cesta"/>
    <d v="2016-03-01T00:00:00"/>
    <n v="349.32"/>
  </r>
  <r>
    <x v="0"/>
    <s v="cesta"/>
    <d v="2016-04-01T00:00:00"/>
    <n v="348.24"/>
  </r>
  <r>
    <x v="0"/>
    <s v="cesta"/>
    <d v="2016-05-01T00:00:00"/>
    <n v="334.83"/>
  </r>
  <r>
    <x v="0"/>
    <s v="cesta"/>
    <d v="2016-06-01T00:00:00"/>
    <n v="376.73"/>
  </r>
  <r>
    <x v="0"/>
    <s v="cesta"/>
    <d v="2016-07-01T00:00:00"/>
    <n v="379.29"/>
  </r>
  <r>
    <x v="0"/>
    <s v="cesta"/>
    <d v="2016-08-01T00:00:00"/>
    <n v="370.7"/>
  </r>
  <r>
    <x v="0"/>
    <s v="cesta"/>
    <d v="2016-09-01T00:00:00"/>
    <n v="371.3"/>
  </r>
  <r>
    <x v="0"/>
    <s v="cesta"/>
    <d v="2016-10-01T00:00:00"/>
    <n v="378.17"/>
  </r>
  <r>
    <x v="0"/>
    <s v="cesta"/>
    <d v="2016-11-01T00:00:00"/>
    <n v="368.52"/>
  </r>
  <r>
    <x v="0"/>
    <s v="cesta"/>
    <d v="2016-12-01T00:00:00"/>
    <n v="349.68"/>
  </r>
  <r>
    <x v="0"/>
    <s v="cesta"/>
    <d v="2017-01-01T00:00:00"/>
    <n v="357.52"/>
  </r>
  <r>
    <x v="0"/>
    <s v="cesta"/>
    <d v="2017-02-01T00:00:00"/>
    <n v="344.72"/>
  </r>
  <r>
    <x v="0"/>
    <s v="cesta"/>
    <d v="2017-03-01T00:00:00"/>
    <n v="351.81"/>
  </r>
  <r>
    <x v="0"/>
    <s v="cesta"/>
    <d v="2017-04-01T00:00:00"/>
    <n v="363.87"/>
  </r>
  <r>
    <x v="0"/>
    <s v="cesta"/>
    <d v="2017-05-01T00:00:00"/>
    <n v="371"/>
  </r>
  <r>
    <x v="0"/>
    <s v="cesta"/>
    <d v="2017-06-01T00:00:00"/>
    <n v="365.55"/>
  </r>
  <r>
    <x v="0"/>
    <s v="cesta"/>
    <d v="2017-07-01T00:00:00"/>
    <n v="364.27"/>
  </r>
  <r>
    <x v="0"/>
    <s v="cesta"/>
    <d v="2017-08-01T00:00:00"/>
    <n v="353.85"/>
  </r>
  <r>
    <x v="0"/>
    <s v="cesta"/>
    <d v="2017-09-01T00:00:00"/>
    <n v="344.16"/>
  </r>
  <r>
    <x v="0"/>
    <s v="cesta"/>
    <d v="2017-10-01T00:00:00"/>
    <n v="340.47"/>
  </r>
  <r>
    <x v="0"/>
    <s v="cesta"/>
    <d v="2017-11-01T00:00:00"/>
    <n v="341.09"/>
  </r>
  <r>
    <x v="0"/>
    <s v="cesta"/>
    <d v="2017-12-01T00:00:00"/>
    <n v="340.02"/>
  </r>
  <r>
    <x v="0"/>
    <s v="cesta"/>
    <d v="2018-01-01T00:00:00"/>
    <n v="349.97"/>
  </r>
  <r>
    <x v="0"/>
    <s v="cesta"/>
    <d v="2018-02-01T00:00:00"/>
    <n v="341.59"/>
  </r>
  <r>
    <x v="0"/>
    <s v="cesta"/>
    <d v="2018-03-01T00:00:00"/>
    <n v="339.77"/>
  </r>
  <r>
    <x v="0"/>
    <s v="cesta"/>
    <d v="2018-04-01T00:00:00"/>
    <n v="342.39"/>
  </r>
  <r>
    <x v="0"/>
    <s v="cesta"/>
    <d v="2018-05-01T00:00:00"/>
    <n v="349.29"/>
  </r>
  <r>
    <x v="0"/>
    <s v="cesta"/>
    <d v="2018-06-01T00:00:00"/>
    <n v="349.55"/>
  </r>
  <r>
    <x v="0"/>
    <s v="cesta"/>
    <d v="2018-07-01T00:00:00"/>
    <n v="344.89"/>
  </r>
  <r>
    <x v="0"/>
    <s v="cesta"/>
    <d v="2018-08-01T00:00:00"/>
    <n v="344.92"/>
  </r>
  <r>
    <x v="0"/>
    <s v="cesta"/>
    <d v="2018-09-01T00:00:00"/>
    <n v="342.34"/>
  </r>
  <r>
    <x v="0"/>
    <s v="cesta"/>
    <d v="2018-10-01T00:00:00"/>
    <n v="342.5"/>
  </r>
  <r>
    <x v="0"/>
    <s v="cesta"/>
    <d v="2018-11-01T00:00:00"/>
    <n v="349.76"/>
  </r>
  <r>
    <x v="0"/>
    <s v="cesta"/>
    <d v="2018-12-01T00:00:00"/>
    <n v="358.75"/>
  </r>
  <r>
    <x v="0"/>
    <s v="cesta"/>
    <d v="2019-01-01T00:00:00"/>
    <n v="356.56"/>
  </r>
  <r>
    <x v="0"/>
    <s v="cesta"/>
    <d v="2019-02-01T00:00:00"/>
    <n v="379.61"/>
  </r>
  <r>
    <x v="0"/>
    <s v="cesta"/>
    <d v="2019-03-01T00:00:00"/>
    <n v="385.62"/>
  </r>
  <r>
    <x v="0"/>
    <s v="cesta"/>
    <d v="2019-04-01T00:00:00"/>
    <n v="404.68"/>
  </r>
  <r>
    <x v="0"/>
    <s v="cesta"/>
    <d v="2019-05-01T00:00:00"/>
    <n v="408.16"/>
  </r>
  <r>
    <x v="0"/>
    <s v="cesta"/>
    <d v="2019-06-01T00:00:00"/>
    <n v="383.09"/>
  </r>
  <r>
    <x v="0"/>
    <s v="cesta"/>
    <d v="2019-07-01T00:00:00"/>
    <n v="359.95"/>
  </r>
  <r>
    <x v="0"/>
    <s v="cesta"/>
    <d v="2019-08-01T00:00:00"/>
    <n v="337.96"/>
  </r>
  <r>
    <x v="0"/>
    <s v="cesta"/>
    <d v="2019-09-01T00:00:00"/>
    <n v="328.7"/>
  </r>
  <r>
    <x v="0"/>
    <s v="cesta"/>
    <d v="2019-10-01T00:00:00"/>
    <n v="325.01"/>
  </r>
  <r>
    <x v="0"/>
    <s v="cesta"/>
    <d v="2019-11-01T00:00:00"/>
    <n v="325.39999999999998"/>
  </r>
  <r>
    <x v="0"/>
    <s v="cesta"/>
    <d v="2019-12-01T00:00:00"/>
    <n v="351.97"/>
  </r>
  <r>
    <x v="0"/>
    <s v="cesta"/>
    <d v="2020-01-01T00:00:00"/>
    <n v="368.69"/>
  </r>
  <r>
    <x v="0"/>
    <s v="cesta"/>
    <d v="2020-02-01T00:00:00"/>
    <n v="371.22"/>
  </r>
  <r>
    <x v="0"/>
    <s v="cesta"/>
    <d v="2020-03-01T00:00:00"/>
    <n v="390.2"/>
  </r>
  <r>
    <x v="0"/>
    <s v="cesta"/>
    <d v="2020-04-01T00:00:00"/>
    <n v="401.37"/>
  </r>
  <r>
    <x v="0"/>
    <s v="cesta"/>
    <d v="2020-05-01T00:00:00"/>
    <n v="400.15"/>
  </r>
  <r>
    <x v="0"/>
    <s v="cesta"/>
    <d v="2020-06-01T00:00:00"/>
    <n v="420.03"/>
  </r>
  <r>
    <x v="0"/>
    <s v="cesta"/>
    <d v="2020-07-01T00:00:00"/>
    <n v="392.75"/>
  </r>
  <r>
    <x v="0"/>
    <s v="cesta"/>
    <d v="2020-08-01T00:00:00"/>
    <n v="398.47"/>
  </r>
  <r>
    <x v="0"/>
    <s v="cesta"/>
    <d v="2020-09-01T00:00:00"/>
    <n v="427.11"/>
  </r>
  <r>
    <x v="0"/>
    <s v="cesta"/>
    <d v="2020-10-01T00:00:00"/>
    <n v="442.26"/>
  </r>
  <r>
    <x v="0"/>
    <s v="cesta"/>
    <d v="2020-11-01T00:00:00"/>
    <n v="451.32"/>
  </r>
  <r>
    <x v="0"/>
    <s v="cesta"/>
    <d v="2020-12-01T00:00:00"/>
    <n v="453.16"/>
  </r>
  <r>
    <x v="0"/>
    <s v="cesta"/>
    <d v="2021-01-01T00:00:00"/>
    <n v="450.84"/>
  </r>
  <r>
    <x v="0"/>
    <s v="cesta"/>
    <d v="2021-02-01T00:00:00"/>
    <n v="445.9"/>
  </r>
  <r>
    <x v="0"/>
    <s v="cesta"/>
    <d v="2021-03-01T00:00:00"/>
    <n v="468.79"/>
  </r>
  <r>
    <x v="0"/>
    <s v="cesta"/>
    <d v="2021-04-01T00:00:00"/>
    <n v="469.66"/>
  </r>
  <r>
    <x v="0"/>
    <s v="cesta"/>
    <d v="2021-05-01T00:00:00"/>
    <n v="468.43"/>
  </r>
  <r>
    <x v="0"/>
    <s v="cesta"/>
    <d v="2021-06-01T00:00:00"/>
    <n v="470.97"/>
  </r>
  <r>
    <x v="0"/>
    <s v="cesta"/>
    <d v="2021-07-01T00:00:00"/>
    <n v="488.42"/>
  </r>
  <r>
    <x v="0"/>
    <s v="cesta"/>
    <d v="2021-08-01T00:00:00"/>
    <n v="456.4"/>
  </r>
  <r>
    <x v="0"/>
    <s v="cesta"/>
    <d v="2021-09-01T00:00:00"/>
    <n v="454.03"/>
  </r>
  <r>
    <x v="0"/>
    <s v="cesta"/>
    <d v="2021-10-01T00:00:00"/>
    <n v="464.17"/>
  </r>
  <r>
    <x v="0"/>
    <s v="cesta"/>
    <d v="2021-11-01T00:00:00"/>
    <n v="473.26"/>
  </r>
  <r>
    <x v="0"/>
    <s v="cesta"/>
    <d v="2021-12-01T00:00:00"/>
    <n v="478.05"/>
  </r>
  <r>
    <x v="0"/>
    <s v="cesta"/>
    <d v="2022-01-01T00:00:00"/>
    <n v="507.82"/>
  </r>
  <r>
    <x v="0"/>
    <s v="cesta"/>
    <d v="2022-02-01T00:00:00"/>
    <n v="516.82000000000005"/>
  </r>
  <r>
    <x v="0"/>
    <s v="cesta"/>
    <d v="2022-03-01T00:00:00"/>
    <n v="524.99"/>
  </r>
  <r>
    <x v="0"/>
    <s v="cesta"/>
    <d v="2022-04-01T00:00:00"/>
    <n v="551.47"/>
  </r>
  <r>
    <x v="0"/>
    <s v="cesta"/>
    <d v="2022-05-01T00:00:00"/>
    <n v="548.38"/>
  </r>
  <r>
    <x v="0"/>
    <s v="cesta"/>
    <d v="2022-06-01T00:00:00"/>
    <n v="549.91"/>
  </r>
  <r>
    <x v="0"/>
    <s v="cesta"/>
    <d v="2022-07-01T00:00:00"/>
    <n v="542.5"/>
  </r>
  <r>
    <x v="0"/>
    <s v="cesta"/>
    <d v="2022-08-01T00:00:00"/>
    <n v="539.57000000000005"/>
  </r>
  <r>
    <x v="0"/>
    <s v="cesta"/>
    <d v="2022-09-01T00:00:00"/>
    <n v="518.67999999999995"/>
  </r>
  <r>
    <x v="0"/>
    <s v="cesta"/>
    <d v="2022-10-01T00:00:00"/>
    <n v="515.51"/>
  </r>
  <r>
    <x v="0"/>
    <s v="cesta"/>
    <d v="2022-11-01T00:00:00"/>
    <n v="511.97"/>
  </r>
  <r>
    <x v="0"/>
    <s v="cesta"/>
    <d v="2022-12-01T00:00:00"/>
    <n v="521.04999999999995"/>
  </r>
  <r>
    <x v="0"/>
    <s v="cesta"/>
    <d v="2023-01-01T00:00:00"/>
    <n v="555.28"/>
  </r>
  <r>
    <x v="0"/>
    <s v="cesta"/>
    <d v="2023-02-01T00:00:00"/>
    <n v="552.97"/>
  </r>
  <r>
    <x v="0"/>
    <s v="cesta"/>
    <d v="2023-03-01T00:00:00"/>
    <n v="546.14"/>
  </r>
  <r>
    <x v="0"/>
    <s v="cesta"/>
    <d v="2023-04-01T00:00:00"/>
    <n v="553.89"/>
  </r>
  <r>
    <x v="0"/>
    <s v="cesta"/>
    <d v="2023-05-01T00:00:00"/>
    <n v="553.76"/>
  </r>
  <r>
    <x v="0"/>
    <s v="cesta"/>
    <d v="2023-06-01T00:00:00"/>
    <n v="567.11"/>
  </r>
  <r>
    <x v="0"/>
    <s v="cesta"/>
    <d v="2023-07-01T00:00:00"/>
    <n v="547.22"/>
  </r>
  <r>
    <x v="0"/>
    <s v="cesta"/>
    <d v="2023-08-01T00:00:00"/>
    <n v="542.66999999999996"/>
  </r>
  <r>
    <x v="0"/>
    <s v="cesta"/>
    <d v="2023-09-01T00:00:00"/>
    <n v="532.34"/>
  </r>
  <r>
    <x v="0"/>
    <s v="cesta"/>
    <d v="2023-10-01T00:00:00"/>
    <n v="521.96"/>
  </r>
  <r>
    <x v="0"/>
    <s v="cesta"/>
    <d v="2023-11-01T00:00:00"/>
    <n v="516.76"/>
  </r>
  <r>
    <x v="0"/>
    <s v="cesta"/>
    <d v="2023-12-01T00:00:00"/>
    <n v="517.26"/>
  </r>
  <r>
    <x v="0"/>
    <s v="cesta"/>
    <d v="2024-01-01T00:00:00"/>
    <n v="528.48"/>
  </r>
  <r>
    <x v="0"/>
    <s v="cesta"/>
    <d v="2024-02-01T00:00:00"/>
    <n v="534.4"/>
  </r>
  <r>
    <x v="0"/>
    <s v="cesta"/>
    <d v="2024-03-01T00:00:00"/>
    <n v="555.22"/>
  </r>
  <r>
    <x v="0"/>
    <s v="cesta"/>
    <d v="2024-04-01T00:00:00"/>
    <n v="582.11"/>
  </r>
  <r>
    <x v="0"/>
    <s v="cesta"/>
    <d v="2024-05-01T00:00:00"/>
    <n v="579.54999999999995"/>
  </r>
  <r>
    <x v="0"/>
    <s v="cesta"/>
    <d v="2024-06-01T00:00:00"/>
    <n v="561.96"/>
  </r>
  <r>
    <x v="0"/>
    <s v="cesta"/>
    <d v="2024-07-01T00:00:00"/>
    <n v="524.28"/>
  </r>
  <r>
    <x v="0"/>
    <s v="cesta"/>
    <d v="2024-08-01T00:00:00"/>
    <n v="516.4"/>
  </r>
  <r>
    <x v="0"/>
    <s v="cesta"/>
    <d v="2024-09-01T00:00:00"/>
    <n v="506.19"/>
  </r>
  <r>
    <x v="0"/>
    <s v="cesta"/>
    <d v="2024-10-01T00:00:00"/>
    <n v="519.30999999999995"/>
  </r>
  <r>
    <x v="0"/>
    <s v="cesta"/>
    <d v="2024-11-01T00:00:00"/>
    <n v="533.26"/>
  </r>
  <r>
    <x v="0"/>
    <s v="cesta"/>
    <d v="2024-12-01T00:00:00"/>
    <n v="554.08000000000004"/>
  </r>
  <r>
    <x v="0"/>
    <s v="cesta"/>
    <d v="2025-01-01T00:00:00"/>
    <n v="571.42999999999995"/>
  </r>
  <r>
    <x v="0"/>
    <s v="cesta"/>
    <d v="2025-02-01T00:00:00"/>
    <n v="580.45000000000005"/>
  </r>
  <r>
    <x v="0"/>
    <s v="cesta"/>
    <d v="2025-03-01T00:00:00"/>
    <n v="569.48"/>
  </r>
  <r>
    <x v="0"/>
    <s v="cesta"/>
    <d v="2025-04-01T00:00:00"/>
    <n v="579.92999999999995"/>
  </r>
  <r>
    <x v="0"/>
    <s v="cesta"/>
    <d v="2025-05-01T00:00:00"/>
    <n v="579.54"/>
  </r>
  <r>
    <x v="0"/>
    <s v="cesta"/>
    <d v="2025-06-01T00:00:00"/>
    <n v="557.28"/>
  </r>
  <r>
    <x v="1"/>
    <s v="cesta"/>
    <d v="2015-01-01T00:00:00"/>
    <n v="310.77999999999997"/>
  </r>
  <r>
    <x v="1"/>
    <s v="cesta"/>
    <d v="2015-02-01T00:00:00"/>
    <n v="314.89"/>
  </r>
  <r>
    <x v="1"/>
    <s v="cesta"/>
    <d v="2015-03-01T00:00:00"/>
    <n v="320.02"/>
  </r>
  <r>
    <x v="1"/>
    <s v="cesta"/>
    <d v="2015-04-01T00:00:00"/>
    <n v="322.81"/>
  </r>
  <r>
    <x v="1"/>
    <s v="cesta"/>
    <d v="2015-05-01T00:00:00"/>
    <n v="338.92"/>
  </r>
  <r>
    <x v="1"/>
    <s v="cesta"/>
    <d v="2015-06-01T00:00:00"/>
    <n v="356.24"/>
  </r>
  <r>
    <x v="1"/>
    <s v="cesta"/>
    <d v="2015-07-01T00:00:00"/>
    <n v="339.27"/>
  </r>
  <r>
    <x v="1"/>
    <s v="cesta"/>
    <d v="2015-08-01T00:00:00"/>
    <n v="334.45"/>
  </r>
  <r>
    <x v="1"/>
    <s v="cesta"/>
    <d v="2015-09-01T00:00:00"/>
    <n v="319.2"/>
  </r>
  <r>
    <x v="1"/>
    <s v="cesta"/>
    <d v="2015-10-01T00:00:00"/>
    <n v="321.72000000000003"/>
  </r>
  <r>
    <x v="1"/>
    <s v="cesta"/>
    <d v="2015-11-01T00:00:00"/>
    <n v="325.69"/>
  </r>
  <r>
    <x v="1"/>
    <s v="cesta"/>
    <d v="2015-12-01T00:00:00"/>
    <n v="351.38"/>
  </r>
  <r>
    <x v="1"/>
    <s v="cesta"/>
    <d v="2016-01-01T00:00:00"/>
    <n v="374.5"/>
  </r>
  <r>
    <x v="1"/>
    <s v="cesta"/>
    <d v="2016-02-01T00:00:00"/>
    <n v="406.86"/>
  </r>
  <r>
    <x v="1"/>
    <s v="cesta"/>
    <d v="2016-03-01T00:00:00"/>
    <n v="413.87"/>
  </r>
  <r>
    <x v="1"/>
    <s v="cesta"/>
    <d v="2016-04-01T00:00:00"/>
    <n v="412.51"/>
  </r>
  <r>
    <x v="1"/>
    <s v="cesta"/>
    <d v="2016-05-01T00:00:00"/>
    <n v="402.97"/>
  </r>
  <r>
    <x v="1"/>
    <s v="cesta"/>
    <d v="2016-06-01T00:00:00"/>
    <n v="419.28"/>
  </r>
  <r>
    <x v="1"/>
    <s v="cesta"/>
    <d v="2016-07-01T00:00:00"/>
    <n v="416.75"/>
  </r>
  <r>
    <x v="1"/>
    <s v="cesta"/>
    <d v="2016-08-01T00:00:00"/>
    <n v="421.33"/>
  </r>
  <r>
    <x v="1"/>
    <s v="cesta"/>
    <d v="2016-09-01T00:00:00"/>
    <n v="424.43"/>
  </r>
  <r>
    <x v="1"/>
    <s v="cesta"/>
    <d v="2016-10-01T00:00:00"/>
    <n v="425.03"/>
  </r>
  <r>
    <x v="1"/>
    <s v="cesta"/>
    <d v="2016-11-01T00:00:00"/>
    <n v="415.86"/>
  </r>
  <r>
    <x v="1"/>
    <s v="cesta"/>
    <d v="2016-12-01T00:00:00"/>
    <n v="410.71"/>
  </r>
  <r>
    <x v="1"/>
    <s v="cesta"/>
    <d v="2017-01-01T00:00:00"/>
    <n v="406.4"/>
  </r>
  <r>
    <x v="1"/>
    <s v="cesta"/>
    <d v="2017-02-01T00:00:00"/>
    <n v="395.57"/>
  </r>
  <r>
    <x v="1"/>
    <s v="cesta"/>
    <d v="2017-03-01T00:00:00"/>
    <n v="394.21"/>
  </r>
  <r>
    <x v="1"/>
    <s v="cesta"/>
    <d v="2017-04-01T00:00:00"/>
    <n v="398.12"/>
  </r>
  <r>
    <x v="1"/>
    <s v="cesta"/>
    <d v="2017-05-01T00:00:00"/>
    <n v="402.76"/>
  </r>
  <r>
    <x v="1"/>
    <s v="cesta"/>
    <d v="2017-06-01T00:00:00"/>
    <n v="393.01"/>
  </r>
  <r>
    <x v="1"/>
    <s v="cesta"/>
    <d v="2017-07-01T00:00:00"/>
    <n v="388.67"/>
  </r>
  <r>
    <x v="1"/>
    <s v="cesta"/>
    <d v="2017-08-01T00:00:00"/>
    <n v="375.82"/>
  </r>
  <r>
    <x v="1"/>
    <s v="cesta"/>
    <d v="2017-09-01T00:00:00"/>
    <n v="369.89"/>
  </r>
  <r>
    <x v="1"/>
    <s v="cesta"/>
    <d v="2017-10-01T00:00:00"/>
    <n v="367.03"/>
  </r>
  <r>
    <x v="1"/>
    <s v="cesta"/>
    <d v="2017-11-01T00:00:00"/>
    <n v="358.74"/>
  </r>
  <r>
    <x v="1"/>
    <s v="cesta"/>
    <d v="2017-12-01T00:00:00"/>
    <n v="356.67"/>
  </r>
  <r>
    <x v="1"/>
    <s v="cesta"/>
    <d v="2018-01-01T00:00:00"/>
    <n v="366.99"/>
  </r>
  <r>
    <x v="1"/>
    <s v="cesta"/>
    <d v="2018-02-01T00:00:00"/>
    <n v="379.36"/>
  </r>
  <r>
    <x v="1"/>
    <s v="cesta"/>
    <d v="2018-03-01T00:00:00"/>
    <n v="367.06"/>
  </r>
  <r>
    <x v="1"/>
    <s v="cesta"/>
    <d v="2018-04-01T00:00:00"/>
    <n v="366.19"/>
  </r>
  <r>
    <x v="1"/>
    <s v="cesta"/>
    <d v="2018-05-01T00:00:00"/>
    <n v="367.56"/>
  </r>
  <r>
    <x v="1"/>
    <s v="cesta"/>
    <d v="2018-06-01T00:00:00"/>
    <n v="381.65"/>
  </r>
  <r>
    <x v="1"/>
    <s v="cesta"/>
    <d v="2018-07-01T00:00:00"/>
    <n v="361.11"/>
  </r>
  <r>
    <x v="1"/>
    <s v="cesta"/>
    <d v="2018-08-01T00:00:00"/>
    <n v="360.3"/>
  </r>
  <r>
    <x v="1"/>
    <s v="cesta"/>
    <d v="2018-09-01T00:00:00"/>
    <n v="359.51"/>
  </r>
  <r>
    <x v="1"/>
    <s v="cesta"/>
    <d v="2018-10-01T00:00:00"/>
    <n v="361.7"/>
  </r>
  <r>
    <x v="1"/>
    <s v="cesta"/>
    <d v="2018-11-01T00:00:00"/>
    <n v="372.24"/>
  </r>
  <r>
    <x v="1"/>
    <s v="cesta"/>
    <d v="2018-12-01T00:00:00"/>
    <n v="382.31"/>
  </r>
  <r>
    <x v="1"/>
    <s v="cesta"/>
    <d v="2019-01-01T00:00:00"/>
    <n v="384.78"/>
  </r>
  <r>
    <x v="1"/>
    <s v="cesta"/>
    <d v="2019-02-01T00:00:00"/>
    <n v="383.76"/>
  </r>
  <r>
    <x v="1"/>
    <s v="cesta"/>
    <d v="2019-03-01T00:00:00"/>
    <n v="408.67"/>
  </r>
  <r>
    <x v="1"/>
    <s v="cesta"/>
    <d v="2019-04-01T00:00:00"/>
    <n v="423.17"/>
  </r>
  <r>
    <x v="1"/>
    <s v="cesta"/>
    <d v="2019-05-01T00:00:00"/>
    <n v="418.05"/>
  </r>
  <r>
    <x v="1"/>
    <s v="cesta"/>
    <d v="2019-06-01T00:00:00"/>
    <n v="407.67"/>
  </r>
  <r>
    <x v="1"/>
    <s v="cesta"/>
    <d v="2019-07-01T00:00:00"/>
    <n v="403.35"/>
  </r>
  <r>
    <x v="1"/>
    <s v="cesta"/>
    <d v="2019-08-01T00:00:00"/>
    <n v="393.94"/>
  </r>
  <r>
    <x v="1"/>
    <s v="cesta"/>
    <d v="2019-09-01T00:00:00"/>
    <n v="382.11"/>
  </r>
  <r>
    <x v="1"/>
    <s v="cesta"/>
    <d v="2019-10-01T00:00:00"/>
    <n v="377.37"/>
  </r>
  <r>
    <x v="1"/>
    <s v="cesta"/>
    <d v="2019-11-01T00:00:00"/>
    <n v="381.28"/>
  </r>
  <r>
    <x v="1"/>
    <s v="cesta"/>
    <d v="2019-12-01T00:00:00"/>
    <n v="414.13"/>
  </r>
  <r>
    <x v="1"/>
    <s v="cesta"/>
    <d v="2020-01-01T00:00:00"/>
    <n v="415.56"/>
  </r>
  <r>
    <x v="1"/>
    <s v="cesta"/>
    <d v="2020-02-01T00:00:00"/>
    <n v="432.95"/>
  </r>
  <r>
    <x v="1"/>
    <s v="cesta"/>
    <d v="2020-03-01T00:00:00"/>
    <n v="418.8"/>
  </r>
  <r>
    <x v="1"/>
    <s v="cesta"/>
    <d v="2020-04-01T00:00:00"/>
    <n v="434.19"/>
  </r>
  <r>
    <x v="1"/>
    <s v="cesta"/>
    <d v="2020-05-01T00:00:00"/>
    <n v="453.36"/>
  </r>
  <r>
    <x v="1"/>
    <s v="cesta"/>
    <d v="2020-06-01T00:00:00"/>
    <n v="453.87"/>
  </r>
  <r>
    <x v="1"/>
    <s v="cesta"/>
    <d v="2020-07-01T00:00:00"/>
    <n v="440.99"/>
  </r>
  <r>
    <x v="1"/>
    <s v="cesta"/>
    <d v="2020-08-01T00:00:00"/>
    <n v="441.51"/>
  </r>
  <r>
    <x v="1"/>
    <s v="cesta"/>
    <d v="2020-09-01T00:00:00"/>
    <n v="459.21"/>
  </r>
  <r>
    <x v="1"/>
    <s v="cesta"/>
    <d v="2020-10-01T00:00:00"/>
    <n v="468.22"/>
  </r>
  <r>
    <x v="1"/>
    <s v="cesta"/>
    <d v="2020-11-01T00:00:00"/>
    <n v="486.5"/>
  </r>
  <r>
    <x v="1"/>
    <s v="cesta"/>
    <d v="2020-12-01T00:00:00"/>
    <n v="500.89"/>
  </r>
  <r>
    <x v="1"/>
    <s v="cesta"/>
    <d v="2021-01-01T00:00:00"/>
    <n v="507.31"/>
  </r>
  <r>
    <x v="1"/>
    <s v="cesta"/>
    <d v="2021-02-01T00:00:00"/>
    <n v="512.95000000000005"/>
  </r>
  <r>
    <x v="1"/>
    <s v="cesta"/>
    <d v="2021-03-01T00:00:00"/>
    <n v="515.77"/>
  </r>
  <r>
    <x v="1"/>
    <s v="cesta"/>
    <d v="2021-04-01T00:00:00"/>
    <n v="505.87"/>
  </r>
  <r>
    <x v="1"/>
    <s v="cesta"/>
    <d v="2021-05-01T00:00:00"/>
    <n v="515.84"/>
  </r>
  <r>
    <x v="1"/>
    <s v="cesta"/>
    <d v="2021-06-01T00:00:00"/>
    <n v="518.53"/>
  </r>
  <r>
    <x v="1"/>
    <s v="cesta"/>
    <d v="2021-07-01T00:00:00"/>
    <n v="522.66"/>
  </r>
  <r>
    <x v="1"/>
    <s v="cesta"/>
    <d v="2021-08-01T00:00:00"/>
    <n v="530.13"/>
  </r>
  <r>
    <x v="1"/>
    <s v="cesta"/>
    <d v="2021-09-01T00:00:00"/>
    <n v="532.55999999999995"/>
  </r>
  <r>
    <x v="1"/>
    <s v="cesta"/>
    <d v="2021-10-01T00:00:00"/>
    <n v="538.44000000000005"/>
  </r>
  <r>
    <x v="1"/>
    <s v="cesta"/>
    <d v="2021-11-01T00:00:00"/>
    <n v="550.64"/>
  </r>
  <r>
    <x v="1"/>
    <s v="cesta"/>
    <d v="2021-12-01T00:00:00"/>
    <n v="556.87"/>
  </r>
  <r>
    <x v="1"/>
    <s v="cesta"/>
    <d v="2022-01-01T00:00:00"/>
    <n v="563.97"/>
  </r>
  <r>
    <x v="1"/>
    <s v="cesta"/>
    <d v="2022-02-01T00:00:00"/>
    <n v="574.86"/>
  </r>
  <r>
    <x v="1"/>
    <s v="cesta"/>
    <d v="2022-03-01T00:00:00"/>
    <n v="585.91"/>
  </r>
  <r>
    <x v="1"/>
    <s v="cesta"/>
    <d v="2022-04-01T00:00:00"/>
    <n v="610.30999999999995"/>
  </r>
  <r>
    <x v="1"/>
    <s v="cesta"/>
    <d v="2022-05-01T00:00:00"/>
    <n v="628.58000000000004"/>
  </r>
  <r>
    <x v="1"/>
    <s v="cesta"/>
    <d v="2022-06-01T00:00:00"/>
    <n v="632.26"/>
  </r>
  <r>
    <x v="1"/>
    <s v="cesta"/>
    <d v="2022-07-01T00:00:00"/>
    <n v="633.14"/>
  </r>
  <r>
    <x v="1"/>
    <s v="cesta"/>
    <d v="2022-08-01T00:00:00"/>
    <n v="634.85"/>
  </r>
  <r>
    <x v="1"/>
    <s v="cesta"/>
    <d v="2022-09-01T00:00:00"/>
    <n v="622.46"/>
  </r>
  <r>
    <x v="1"/>
    <s v="cesta"/>
    <d v="2022-10-01T00:00:00"/>
    <n v="615.22"/>
  </r>
  <r>
    <x v="1"/>
    <s v="cesta"/>
    <d v="2022-11-01T00:00:00"/>
    <n v="624.29"/>
  </r>
  <r>
    <x v="1"/>
    <s v="cesta"/>
    <d v="2022-12-01T00:00:00"/>
    <n v="639.44000000000005"/>
  </r>
  <r>
    <x v="1"/>
    <s v="cesta"/>
    <d v="2023-01-01T00:00:00"/>
    <n v="654.80999999999995"/>
  </r>
  <r>
    <x v="1"/>
    <s v="cesta"/>
    <d v="2023-02-01T00:00:00"/>
    <n v="662.98"/>
  </r>
  <r>
    <x v="1"/>
    <s v="cesta"/>
    <d v="2023-03-01T00:00:00"/>
    <n v="664.54"/>
  </r>
  <r>
    <x v="1"/>
    <s v="cesta"/>
    <d v="2023-04-01T00:00:00"/>
    <n v="660.77"/>
  </r>
  <r>
    <x v="1"/>
    <s v="cesta"/>
    <d v="2023-05-01T00:00:00"/>
    <n v="669.8"/>
  </r>
  <r>
    <x v="1"/>
    <s v="cesta"/>
    <d v="2023-06-01T00:00:00"/>
    <n v="659.89"/>
  </r>
  <r>
    <x v="1"/>
    <s v="cesta"/>
    <d v="2023-07-01T00:00:00"/>
    <n v="650.41999999999996"/>
  </r>
  <r>
    <x v="1"/>
    <s v="cesta"/>
    <d v="2023-08-01T00:00:00"/>
    <n v="640.11"/>
  </r>
  <r>
    <x v="1"/>
    <s v="cesta"/>
    <d v="2023-09-01T00:00:00"/>
    <n v="633.53"/>
  </r>
  <r>
    <x v="1"/>
    <s v="cesta"/>
    <d v="2023-10-01T00:00:00"/>
    <n v="632.91999999999996"/>
  </r>
  <r>
    <x v="1"/>
    <s v="cesta"/>
    <d v="2023-11-01T00:00:00"/>
    <n v="635.17999999999995"/>
  </r>
  <r>
    <x v="1"/>
    <s v="cesta"/>
    <d v="2023-12-01T00:00:00"/>
    <n v="645.44000000000005"/>
  </r>
  <r>
    <x v="1"/>
    <s v="cesta"/>
    <d v="2024-01-01T00:00:00"/>
    <n v="656.78"/>
  </r>
  <r>
    <x v="1"/>
    <s v="cesta"/>
    <d v="2024-02-01T00:00:00"/>
    <n v="665.12"/>
  </r>
  <r>
    <x v="1"/>
    <s v="cesta"/>
    <d v="2024-03-01T00:00:00"/>
    <n v="667.53"/>
  </r>
  <r>
    <x v="1"/>
    <s v="cesta"/>
    <d v="2024-04-01T00:00:00"/>
    <n v="681.45"/>
  </r>
  <r>
    <x v="1"/>
    <s v="cesta"/>
    <d v="2024-05-01T00:00:00"/>
    <n v="690.98"/>
  </r>
  <r>
    <x v="1"/>
    <s v="cesta"/>
    <d v="2024-06-01T00:00:00"/>
    <n v="695.58"/>
  </r>
  <r>
    <x v="1"/>
    <s v="cesta"/>
    <d v="2024-07-01T00:00:00"/>
    <n v="682.39"/>
  </r>
  <r>
    <x v="1"/>
    <s v="cesta"/>
    <d v="2024-08-01T00:00:00"/>
    <n v="664.92"/>
  </r>
  <r>
    <x v="1"/>
    <s v="cesta"/>
    <d v="2024-09-01T00:00:00"/>
    <n v="647.79"/>
  </r>
  <r>
    <x v="1"/>
    <s v="cesta"/>
    <d v="2024-10-01T00:00:00"/>
    <n v="649.9"/>
  </r>
  <r>
    <x v="1"/>
    <s v="cesta"/>
    <d v="2024-11-01T00:00:00"/>
    <n v="663.02"/>
  </r>
  <r>
    <x v="1"/>
    <s v="cesta"/>
    <d v="2024-12-01T00:00:00"/>
    <n v="665.83"/>
  </r>
  <r>
    <x v="1"/>
    <s v="cesta"/>
    <d v="2025-01-01T00:00:00"/>
    <n v="697.81"/>
  </r>
  <r>
    <x v="1"/>
    <s v="cesta"/>
    <d v="2025-02-01T00:00:00"/>
    <n v="700.06"/>
  </r>
  <r>
    <x v="1"/>
    <s v="cesta"/>
    <d v="2025-03-01T00:00:00"/>
    <n v="704.9"/>
  </r>
  <r>
    <x v="1"/>
    <s v="cesta"/>
    <d v="2025-04-01T00:00:00"/>
    <n v="726.21"/>
  </r>
  <r>
    <x v="1"/>
    <s v="cesta"/>
    <d v="2025-05-01T00:00:00"/>
    <n v="726.38"/>
  </r>
  <r>
    <x v="1"/>
    <s v="cesta"/>
    <d v="2025-06-01T00:00:00"/>
    <n v="709.04"/>
  </r>
  <r>
    <x v="2"/>
    <s v="cesta"/>
    <d v="2015-01-01T00:00:00"/>
    <n v="337.57"/>
  </r>
  <r>
    <x v="2"/>
    <s v="cesta"/>
    <d v="2015-02-01T00:00:00"/>
    <n v="341.72"/>
  </r>
  <r>
    <x v="2"/>
    <s v="cesta"/>
    <d v="2015-03-01T00:00:00"/>
    <n v="343.22"/>
  </r>
  <r>
    <x v="2"/>
    <s v="cesta"/>
    <d v="2015-04-01T00:00:00"/>
    <n v="348.36"/>
  </r>
  <r>
    <x v="2"/>
    <s v="cesta"/>
    <d v="2015-05-01T00:00:00"/>
    <n v="355.92"/>
  </r>
  <r>
    <x v="2"/>
    <s v="cesta"/>
    <d v="2015-06-01T00:00:00"/>
    <n v="338.76"/>
  </r>
  <r>
    <x v="2"/>
    <s v="cesta"/>
    <d v="2015-07-01T00:00:00"/>
    <n v="345.02"/>
  </r>
  <r>
    <x v="2"/>
    <s v="cesta"/>
    <d v="2015-08-01T00:00:00"/>
    <n v="337.42"/>
  </r>
  <r>
    <x v="2"/>
    <s v="cesta"/>
    <d v="2015-09-01T00:00:00"/>
    <n v="338.19"/>
  </r>
  <r>
    <x v="2"/>
    <s v="cesta"/>
    <d v="2015-10-01T00:00:00"/>
    <n v="338.61"/>
  </r>
  <r>
    <x v="2"/>
    <s v="cesta"/>
    <d v="2015-11-01T00:00:00"/>
    <n v="362.19"/>
  </r>
  <r>
    <x v="2"/>
    <s v="cesta"/>
    <d v="2015-12-01T00:00:00"/>
    <n v="376.91"/>
  </r>
  <r>
    <x v="2"/>
    <s v="cesta"/>
    <d v="2016-01-01T00:00:00"/>
    <n v="417.72"/>
  </r>
  <r>
    <x v="2"/>
    <s v="cesta"/>
    <d v="2016-02-01T00:00:00"/>
    <n v="400.29"/>
  </r>
  <r>
    <x v="2"/>
    <s v="cesta"/>
    <d v="2016-03-01T00:00:00"/>
    <n v="408.84"/>
  </r>
  <r>
    <x v="2"/>
    <s v="cesta"/>
    <d v="2016-04-01T00:00:00"/>
    <n v="399.24"/>
  </r>
  <r>
    <x v="2"/>
    <s v="cesta"/>
    <d v="2016-05-01T00:00:00"/>
    <n v="408.5"/>
  </r>
  <r>
    <x v="2"/>
    <s v="cesta"/>
    <d v="2016-06-01T00:00:00"/>
    <n v="425.82"/>
  </r>
  <r>
    <x v="2"/>
    <s v="cesta"/>
    <d v="2016-07-01T00:00:00"/>
    <n v="423.1"/>
  </r>
  <r>
    <x v="2"/>
    <s v="cesta"/>
    <d v="2016-08-01T00:00:00"/>
    <n v="429.64"/>
  </r>
  <r>
    <x v="2"/>
    <s v="cesta"/>
    <d v="2016-09-01T00:00:00"/>
    <n v="421.55"/>
  </r>
  <r>
    <x v="2"/>
    <s v="cesta"/>
    <d v="2016-10-01T00:00:00"/>
    <n v="418.47"/>
  </r>
  <r>
    <x v="2"/>
    <s v="cesta"/>
    <d v="2016-11-01T00:00:00"/>
    <n v="400.9"/>
  </r>
  <r>
    <x v="2"/>
    <s v="cesta"/>
    <d v="2016-12-01T00:00:00"/>
    <n v="394.66"/>
  </r>
  <r>
    <x v="2"/>
    <s v="cesta"/>
    <d v="2017-01-01T00:00:00"/>
    <n v="389.69"/>
  </r>
  <r>
    <x v="2"/>
    <s v="cesta"/>
    <d v="2017-02-01T00:00:00"/>
    <n v="377.66"/>
  </r>
  <r>
    <x v="2"/>
    <s v="cesta"/>
    <d v="2017-03-01T00:00:00"/>
    <n v="385.57"/>
  </r>
  <r>
    <x v="2"/>
    <s v="cesta"/>
    <d v="2017-04-01T00:00:00"/>
    <n v="397.36"/>
  </r>
  <r>
    <x v="2"/>
    <s v="cesta"/>
    <d v="2017-05-01T00:00:00"/>
    <n v="390.6"/>
  </r>
  <r>
    <x v="2"/>
    <s v="cesta"/>
    <d v="2017-06-01T00:00:00"/>
    <n v="374.87"/>
  </r>
  <r>
    <x v="2"/>
    <s v="cesta"/>
    <d v="2017-07-01T00:00:00"/>
    <n v="383.69"/>
  </r>
  <r>
    <x v="2"/>
    <s v="cesta"/>
    <d v="2017-08-01T00:00:00"/>
    <n v="365.05"/>
  </r>
  <r>
    <x v="2"/>
    <s v="cesta"/>
    <d v="2017-09-01T00:00:00"/>
    <n v="361.82"/>
  </r>
  <r>
    <x v="2"/>
    <s v="cesta"/>
    <d v="2017-10-01T00:00:00"/>
    <n v="365.89"/>
  </r>
  <r>
    <x v="2"/>
    <s v="cesta"/>
    <d v="2017-11-01T00:00:00"/>
    <n v="359.71"/>
  </r>
  <r>
    <x v="2"/>
    <s v="cesta"/>
    <d v="2017-12-01T00:00:00"/>
    <n v="361.61"/>
  </r>
  <r>
    <x v="2"/>
    <s v="cesta"/>
    <d v="2018-01-01T00:00:00"/>
    <n v="380.02"/>
  </r>
  <r>
    <x v="2"/>
    <s v="cesta"/>
    <d v="2018-02-01T00:00:00"/>
    <n v="381.9"/>
  </r>
  <r>
    <x v="2"/>
    <s v="cesta"/>
    <d v="2018-03-01T00:00:00"/>
    <n v="378.13"/>
  </r>
  <r>
    <x v="2"/>
    <s v="cesta"/>
    <d v="2018-04-01T00:00:00"/>
    <n v="376.58"/>
  </r>
  <r>
    <x v="2"/>
    <s v="cesta"/>
    <d v="2018-05-01T00:00:00"/>
    <n v="375.11"/>
  </r>
  <r>
    <x v="2"/>
    <s v="cesta"/>
    <d v="2018-06-01T00:00:00"/>
    <n v="373.92"/>
  </r>
  <r>
    <x v="2"/>
    <s v="cesta"/>
    <d v="2018-07-01T00:00:00"/>
    <n v="363.28"/>
  </r>
  <r>
    <x v="2"/>
    <s v="cesta"/>
    <d v="2018-08-01T00:00:00"/>
    <n v="357.93"/>
  </r>
  <r>
    <x v="2"/>
    <s v="cesta"/>
    <d v="2018-09-01T00:00:00"/>
    <n v="358.83"/>
  </r>
  <r>
    <x v="2"/>
    <s v="cesta"/>
    <d v="2018-10-01T00:00:00"/>
    <n v="372.77"/>
  </r>
  <r>
    <x v="2"/>
    <s v="cesta"/>
    <d v="2018-11-01T00:00:00"/>
    <n v="401.9"/>
  </r>
  <r>
    <x v="2"/>
    <s v="cesta"/>
    <d v="2018-12-01T00:00:00"/>
    <n v="408.71"/>
  </r>
  <r>
    <x v="2"/>
    <s v="cesta"/>
    <d v="2019-01-01T00:00:00"/>
    <n v="405.4"/>
  </r>
  <r>
    <x v="2"/>
    <s v="cesta"/>
    <d v="2019-02-01T00:00:00"/>
    <n v="425"/>
  </r>
  <r>
    <x v="2"/>
    <s v="cesta"/>
    <d v="2019-03-01T00:00:00"/>
    <n v="443.26"/>
  </r>
  <r>
    <x v="2"/>
    <s v="cesta"/>
    <d v="2019-04-01T00:00:00"/>
    <n v="456.91"/>
  </r>
  <r>
    <x v="2"/>
    <s v="cesta"/>
    <d v="2019-05-01T00:00:00"/>
    <n v="424.85"/>
  </r>
  <r>
    <x v="2"/>
    <s v="cesta"/>
    <d v="2019-06-01T00:00:00"/>
    <n v="429.3"/>
  </r>
  <r>
    <x v="2"/>
    <s v="cesta"/>
    <d v="2019-07-01T00:00:00"/>
    <n v="415.03"/>
  </r>
  <r>
    <x v="2"/>
    <s v="cesta"/>
    <d v="2019-08-01T00:00:00"/>
    <n v="401.14"/>
  </r>
  <r>
    <x v="2"/>
    <s v="cesta"/>
    <d v="2019-09-01T00:00:00"/>
    <n v="390.93"/>
  </r>
  <r>
    <x v="2"/>
    <s v="cesta"/>
    <d v="2019-10-01T00:00:00"/>
    <n v="391.85"/>
  </r>
  <r>
    <x v="2"/>
    <s v="cesta"/>
    <d v="2019-11-01T00:00:00"/>
    <n v="393.58"/>
  </r>
  <r>
    <x v="2"/>
    <s v="cesta"/>
    <d v="2019-12-01T00:00:00"/>
    <n v="444.91"/>
  </r>
  <r>
    <x v="2"/>
    <s v="cesta"/>
    <d v="2020-01-01T00:00:00"/>
    <n v="456.35"/>
  </r>
  <r>
    <x v="2"/>
    <s v="cesta"/>
    <d v="2020-02-01T00:00:00"/>
    <n v="459.1"/>
  </r>
  <r>
    <x v="2"/>
    <s v="cesta"/>
    <d v="2020-03-01T00:00:00"/>
    <n v="461.28"/>
  </r>
  <r>
    <x v="2"/>
    <s v="cesta"/>
    <d v="2020-04-01T00:00:00"/>
    <n v="484.55"/>
  </r>
  <r>
    <x v="2"/>
    <s v="cesta"/>
    <d v="2020-05-01T00:00:00"/>
    <n v="484.02"/>
  </r>
  <r>
    <x v="2"/>
    <s v="cesta"/>
    <d v="2020-06-01T00:00:00"/>
    <n v="475.19"/>
  </r>
  <r>
    <x v="2"/>
    <s v="cesta"/>
    <d v="2020-07-01T00:00:00"/>
    <n v="465.06"/>
  </r>
  <r>
    <x v="2"/>
    <s v="cesta"/>
    <d v="2020-08-01T00:00:00"/>
    <n v="478.07"/>
  </r>
  <r>
    <x v="2"/>
    <s v="cesta"/>
    <d v="2020-09-01T00:00:00"/>
    <n v="491.62"/>
  </r>
  <r>
    <x v="2"/>
    <s v="cesta"/>
    <d v="2020-10-01T00:00:00"/>
    <n v="516.82000000000005"/>
  </r>
  <r>
    <x v="2"/>
    <s v="cesta"/>
    <d v="2020-11-01T00:00:00"/>
    <n v="552.37"/>
  </r>
  <r>
    <x v="2"/>
    <s v="cesta"/>
    <d v="2020-12-01T00:00:00"/>
    <n v="568.53"/>
  </r>
  <r>
    <x v="2"/>
    <s v="cesta"/>
    <d v="2021-01-01T00:00:00"/>
    <n v="592.26"/>
  </r>
  <r>
    <x v="2"/>
    <s v="cesta"/>
    <d v="2021-02-01T00:00:00"/>
    <n v="573.53"/>
  </r>
  <r>
    <x v="2"/>
    <s v="cesta"/>
    <d v="2021-03-01T00:00:00"/>
    <n v="555.66999999999996"/>
  </r>
  <r>
    <x v="2"/>
    <s v="cesta"/>
    <d v="2021-04-01T00:00:00"/>
    <n v="565.78"/>
  </r>
  <r>
    <x v="2"/>
    <s v="cesta"/>
    <d v="2021-06-01T00:00:00"/>
    <n v="532.01"/>
  </r>
  <r>
    <x v="2"/>
    <s v="cesta"/>
    <d v="2021-07-01T00:00:00"/>
    <n v="549.49"/>
  </r>
  <r>
    <x v="2"/>
    <s v="cesta"/>
    <d v="2021-08-01T00:00:00"/>
    <n v="562.95000000000005"/>
  </r>
  <r>
    <x v="2"/>
    <s v="cesta"/>
    <d v="2021-09-01T00:00:00"/>
    <n v="582.61"/>
  </r>
  <r>
    <x v="2"/>
    <s v="cesta"/>
    <d v="2021-10-01T00:00:00"/>
    <n v="598.79"/>
  </r>
  <r>
    <x v="2"/>
    <s v="cesta"/>
    <d v="2021-11-01T00:00:00"/>
    <n v="594.97"/>
  </r>
  <r>
    <x v="2"/>
    <s v="cesta"/>
    <d v="2021-12-01T00:00:00"/>
    <n v="605.16"/>
  </r>
  <r>
    <x v="2"/>
    <s v="cesta"/>
    <d v="2022-01-01T00:00:00"/>
    <n v="632.83000000000004"/>
  </r>
  <r>
    <x v="2"/>
    <s v="cesta"/>
    <d v="2022-02-01T00:00:00"/>
    <n v="642.01"/>
  </r>
  <r>
    <x v="2"/>
    <s v="cesta"/>
    <d v="2022-03-01T00:00:00"/>
    <n v="669.47"/>
  </r>
  <r>
    <x v="2"/>
    <s v="cesta"/>
    <d v="2022-04-01T00:00:00"/>
    <n v="693.41"/>
  </r>
  <r>
    <x v="2"/>
    <s v="cesta"/>
    <d v="2022-05-01T00:00:00"/>
    <n v="653.12"/>
  </r>
  <r>
    <x v="2"/>
    <s v="cesta"/>
    <d v="2022-06-01T00:00:00"/>
    <n v="648.77"/>
  </r>
  <r>
    <x v="2"/>
    <s v="cesta"/>
    <d v="2022-07-01T00:00:00"/>
    <n v="652.07000000000005"/>
  </r>
  <r>
    <x v="2"/>
    <s v="cesta"/>
    <d v="2022-08-01T00:00:00"/>
    <n v="638.19000000000005"/>
  </r>
  <r>
    <x v="2"/>
    <s v="cesta"/>
    <d v="2022-09-01T00:00:00"/>
    <n v="650.16"/>
  </r>
  <r>
    <x v="2"/>
    <s v="cesta"/>
    <d v="2022-10-01T00:00:00"/>
    <n v="662.37"/>
  </r>
  <r>
    <x v="2"/>
    <s v="cesta"/>
    <d v="2022-11-01T00:00:00"/>
    <n v="693.37"/>
  </r>
  <r>
    <x v="2"/>
    <s v="cesta"/>
    <d v="2022-12-01T00:00:00"/>
    <n v="696.32"/>
  </r>
  <r>
    <x v="2"/>
    <s v="cesta"/>
    <d v="2023-01-01T00:00:00"/>
    <n v="707.93"/>
  </r>
  <r>
    <x v="2"/>
    <s v="cesta"/>
    <d v="2023-02-01T00:00:00"/>
    <n v="679.86"/>
  </r>
  <r>
    <x v="2"/>
    <s v="cesta"/>
    <d v="2023-03-01T00:00:00"/>
    <n v="654.57000000000005"/>
  </r>
  <r>
    <x v="2"/>
    <s v="cesta"/>
    <d v="2023-04-01T00:00:00"/>
    <n v="668.96"/>
  </r>
  <r>
    <x v="2"/>
    <s v="cesta"/>
    <d v="2023-05-01T00:00:00"/>
    <n v="666.82"/>
  </r>
  <r>
    <x v="2"/>
    <s v="cesta"/>
    <d v="2023-06-01T00:00:00"/>
    <n v="656.02"/>
  </r>
  <r>
    <x v="2"/>
    <s v="cesta"/>
    <d v="2023-07-01T00:00:00"/>
    <n v="652.78"/>
  </r>
  <r>
    <x v="2"/>
    <s v="cesta"/>
    <d v="2023-08-01T00:00:00"/>
    <n v="646.02"/>
  </r>
  <r>
    <x v="2"/>
    <s v="cesta"/>
    <d v="2023-09-01T00:00:00"/>
    <n v="633.78"/>
  </r>
  <r>
    <x v="2"/>
    <s v="cesta"/>
    <d v="2023-10-01T00:00:00"/>
    <n v="627.72"/>
  </r>
  <r>
    <x v="2"/>
    <s v="cesta"/>
    <d v="2023-11-01T00:00:00"/>
    <n v="639.67999999999995"/>
  </r>
  <r>
    <x v="2"/>
    <s v="cesta"/>
    <d v="2023-12-01T00:00:00"/>
    <n v="656.29"/>
  </r>
  <r>
    <x v="2"/>
    <s v="cesta"/>
    <d v="2024-01-01T00:00:00"/>
    <n v="724.73"/>
  </r>
  <r>
    <x v="2"/>
    <s v="cesta"/>
    <d v="2024-02-01T00:00:00"/>
    <n v="727.46"/>
  </r>
  <r>
    <x v="2"/>
    <s v="cesta"/>
    <d v="2024-03-01T00:00:00"/>
    <n v="712.51"/>
  </r>
  <r>
    <x v="2"/>
    <s v="cesta"/>
    <d v="2024-04-01T00:00:00"/>
    <n v="712.7"/>
  </r>
  <r>
    <x v="2"/>
    <s v="cesta"/>
    <d v="2024-05-01T00:00:00"/>
    <n v="693.39"/>
  </r>
  <r>
    <x v="2"/>
    <s v="cesta"/>
    <d v="2024-06-01T00:00:00"/>
    <n v="701.55"/>
  </r>
  <r>
    <x v="2"/>
    <s v="cesta"/>
    <d v="2024-07-01T00:00:00"/>
    <n v="656.69"/>
  </r>
  <r>
    <x v="2"/>
    <s v="cesta"/>
    <d v="2024-08-01T00:00:00"/>
    <n v="655.25"/>
  </r>
  <r>
    <x v="2"/>
    <s v="cesta"/>
    <d v="2024-09-01T00:00:00"/>
    <n v="651.44000000000005"/>
  </r>
  <r>
    <x v="2"/>
    <s v="cesta"/>
    <d v="2024-10-01T00:00:00"/>
    <n v="678.07"/>
  </r>
  <r>
    <x v="2"/>
    <s v="cesta"/>
    <d v="2024-11-01T00:00:00"/>
    <n v="686.9"/>
  </r>
  <r>
    <x v="2"/>
    <s v="cesta"/>
    <d v="2024-12-01T00:00:00"/>
    <n v="694.77"/>
  </r>
  <r>
    <x v="2"/>
    <s v="cesta"/>
    <d v="2025-01-01T00:00:00"/>
    <n v="717.51"/>
  </r>
  <r>
    <x v="2"/>
    <s v="cesta"/>
    <d v="2025-02-01T00:00:00"/>
    <n v="726.01"/>
  </r>
  <r>
    <x v="2"/>
    <s v="cesta"/>
    <d v="2025-03-01T00:00:00"/>
    <n v="744.1"/>
  </r>
  <r>
    <x v="2"/>
    <s v="cesta"/>
    <d v="2025-04-01T00:00:00"/>
    <n v="752.6"/>
  </r>
  <r>
    <x v="2"/>
    <s v="cesta"/>
    <d v="2025-05-01T00:00:00"/>
    <n v="733.76"/>
  </r>
  <r>
    <x v="2"/>
    <s v="cesta"/>
    <d v="2025-06-01T00:00:00"/>
    <n v="726.63"/>
  </r>
  <r>
    <x v="3"/>
    <s v="cesta"/>
    <d v="2015-01-01T00:00:00"/>
    <n v="353.6"/>
  </r>
  <r>
    <x v="3"/>
    <s v="cesta"/>
    <d v="2015-02-01T00:00:00"/>
    <n v="355.7"/>
  </r>
  <r>
    <x v="3"/>
    <s v="cesta"/>
    <d v="2015-03-01T00:00:00"/>
    <n v="351.93"/>
  </r>
  <r>
    <x v="3"/>
    <s v="cesta"/>
    <d v="2015-04-01T00:00:00"/>
    <n v="358"/>
  </r>
  <r>
    <x v="3"/>
    <s v="cesta"/>
    <d v="2015-05-01T00:00:00"/>
    <n v="370.23"/>
  </r>
  <r>
    <x v="3"/>
    <s v="cesta"/>
    <d v="2015-06-01T00:00:00"/>
    <n v="359.61"/>
  </r>
  <r>
    <x v="3"/>
    <s v="cesta"/>
    <d v="2015-07-01T00:00:00"/>
    <n v="354.94"/>
  </r>
  <r>
    <x v="3"/>
    <s v="cesta"/>
    <d v="2015-08-01T00:00:00"/>
    <n v="342.66"/>
  </r>
  <r>
    <x v="3"/>
    <s v="cesta"/>
    <d v="2015-09-01T00:00:00"/>
    <n v="338.28"/>
  </r>
  <r>
    <x v="3"/>
    <s v="cesta"/>
    <d v="2015-10-01T00:00:00"/>
    <n v="345.38"/>
  </r>
  <r>
    <x v="3"/>
    <s v="cesta"/>
    <d v="2015-11-01T00:00:00"/>
    <n v="377.24"/>
  </r>
  <r>
    <x v="3"/>
    <s v="cesta"/>
    <d v="2015-12-01T00:00:00"/>
    <n v="392.93"/>
  </r>
  <r>
    <x v="3"/>
    <s v="cesta"/>
    <d v="2016-01-01T00:00:00"/>
    <n v="451.76"/>
  </r>
  <r>
    <x v="3"/>
    <s v="cesta"/>
    <d v="2016-02-01T00:00:00"/>
    <n v="438.69"/>
  </r>
  <r>
    <x v="3"/>
    <s v="cesta"/>
    <d v="2016-03-01T00:00:00"/>
    <n v="444.74"/>
  </r>
  <r>
    <x v="3"/>
    <s v="cesta"/>
    <d v="2016-04-01T00:00:00"/>
    <n v="427.68"/>
  </r>
  <r>
    <x v="3"/>
    <s v="cesta"/>
    <d v="2016-05-01T00:00:00"/>
    <n v="441.6"/>
  </r>
  <r>
    <x v="3"/>
    <s v="cesta"/>
    <d v="2016-06-01T00:00:00"/>
    <n v="448.4"/>
  </r>
  <r>
    <x v="3"/>
    <s v="cesta"/>
    <d v="2016-07-01T00:00:00"/>
    <n v="447.36"/>
  </r>
  <r>
    <x v="3"/>
    <s v="cesta"/>
    <d v="2016-08-01T00:00:00"/>
    <n v="451.29"/>
  </r>
  <r>
    <x v="3"/>
    <s v="cesta"/>
    <d v="2016-09-01T00:00:00"/>
    <n v="461.99"/>
  </r>
  <r>
    <x v="3"/>
    <s v="cesta"/>
    <d v="2016-10-01T00:00:00"/>
    <n v="436.85"/>
  </r>
  <r>
    <x v="3"/>
    <s v="cesta"/>
    <d v="2016-11-01T00:00:00"/>
    <n v="436.68"/>
  </r>
  <r>
    <x v="3"/>
    <s v="cesta"/>
    <d v="2016-12-01T00:00:00"/>
    <n v="431.71"/>
  </r>
  <r>
    <x v="3"/>
    <s v="cesta"/>
    <d v="2017-01-01T00:00:00"/>
    <n v="432.65"/>
  </r>
  <r>
    <x v="3"/>
    <s v="cesta"/>
    <d v="2017-02-01T00:00:00"/>
    <n v="416.59"/>
  </r>
  <r>
    <x v="3"/>
    <s v="cesta"/>
    <d v="2017-03-01T00:00:00"/>
    <n v="415.39"/>
  </r>
  <r>
    <x v="3"/>
    <s v="cesta"/>
    <d v="2017-04-01T00:00:00"/>
    <n v="427.37"/>
  </r>
  <r>
    <x v="3"/>
    <s v="cesta"/>
    <d v="2017-05-01T00:00:00"/>
    <n v="422.53"/>
  </r>
  <r>
    <x v="3"/>
    <s v="cesta"/>
    <d v="2017-06-01T00:00:00"/>
    <n v="404.88"/>
  </r>
  <r>
    <x v="3"/>
    <s v="cesta"/>
    <d v="2017-07-01T00:00:00"/>
    <n v="405.4"/>
  </r>
  <r>
    <x v="3"/>
    <s v="cesta"/>
    <d v="2017-08-01T00:00:00"/>
    <n v="396.54"/>
  </r>
  <r>
    <x v="3"/>
    <s v="cesta"/>
    <d v="2017-09-01T00:00:00"/>
    <n v="383.03"/>
  </r>
  <r>
    <x v="3"/>
    <s v="cesta"/>
    <d v="2017-10-01T00:00:00"/>
    <n v="388.78"/>
  </r>
  <r>
    <x v="3"/>
    <s v="cesta"/>
    <d v="2017-11-01T00:00:00"/>
    <n v="380.52"/>
  </r>
  <r>
    <x v="3"/>
    <s v="cesta"/>
    <d v="2017-12-01T00:00:00"/>
    <n v="379.77"/>
  </r>
  <r>
    <x v="3"/>
    <s v="cesta"/>
    <d v="2018-01-01T00:00:00"/>
    <n v="416.5"/>
  </r>
  <r>
    <x v="3"/>
    <s v="cesta"/>
    <d v="2018-02-01T00:00:00"/>
    <n v="408.68"/>
  </r>
  <r>
    <x v="3"/>
    <s v="cesta"/>
    <d v="2018-03-01T00:00:00"/>
    <n v="404.6"/>
  </r>
  <r>
    <x v="3"/>
    <s v="cesta"/>
    <d v="2018-04-01T00:00:00"/>
    <n v="402.31"/>
  </r>
  <r>
    <x v="3"/>
    <s v="cesta"/>
    <d v="2018-05-01T00:00:00"/>
    <n v="404.65"/>
  </r>
  <r>
    <x v="3"/>
    <s v="cesta"/>
    <d v="2018-06-01T00:00:00"/>
    <n v="413.02"/>
  </r>
  <r>
    <x v="3"/>
    <s v="cesta"/>
    <d v="2018-07-01T00:00:00"/>
    <n v="390.34"/>
  </r>
  <r>
    <x v="3"/>
    <s v="cesta"/>
    <d v="2018-08-01T00:00:00"/>
    <n v="385.62"/>
  </r>
  <r>
    <x v="3"/>
    <s v="cesta"/>
    <d v="2018-09-01T00:00:00"/>
    <n v="390.14"/>
  </r>
  <r>
    <x v="3"/>
    <s v="cesta"/>
    <d v="2018-10-01T00:00:00"/>
    <n v="408.57"/>
  </r>
  <r>
    <x v="3"/>
    <s v="cesta"/>
    <d v="2018-11-01T00:00:00"/>
    <n v="430.82"/>
  </r>
  <r>
    <x v="3"/>
    <s v="cesta"/>
    <d v="2018-12-01T00:00:00"/>
    <n v="435.83"/>
  </r>
  <r>
    <x v="3"/>
    <s v="cesta"/>
    <d v="2019-01-01T00:00:00"/>
    <n v="427.1"/>
  </r>
  <r>
    <x v="3"/>
    <s v="cesta"/>
    <d v="2019-02-01T00:00:00"/>
    <n v="427.54"/>
  </r>
  <r>
    <x v="3"/>
    <s v="cesta"/>
    <d v="2019-03-01T00:00:00"/>
    <n v="474.94"/>
  </r>
  <r>
    <x v="3"/>
    <s v="cesta"/>
    <d v="2019-04-01T00:00:00"/>
    <n v="487.02"/>
  </r>
  <r>
    <x v="3"/>
    <s v="cesta"/>
    <d v="2019-05-01T00:00:00"/>
    <n v="487.3"/>
  </r>
  <r>
    <x v="3"/>
    <s v="cesta"/>
    <d v="2019-06-01T00:00:00"/>
    <n v="454.9"/>
  </r>
  <r>
    <x v="3"/>
    <s v="cesta"/>
    <d v="2019-07-01T00:00:00"/>
    <n v="449.27"/>
  </r>
  <r>
    <x v="3"/>
    <s v="cesta"/>
    <d v="2019-08-01T00:00:00"/>
    <n v="433.45"/>
  </r>
  <r>
    <x v="3"/>
    <s v="cesta"/>
    <d v="2019-09-01T00:00:00"/>
    <n v="420.01"/>
  </r>
  <r>
    <x v="3"/>
    <s v="cesta"/>
    <d v="2019-10-01T00:00:00"/>
    <n v="441.91"/>
  </r>
  <r>
    <x v="3"/>
    <s v="cesta"/>
    <d v="2019-12-01T00:00:00"/>
    <n v="473.9"/>
  </r>
  <r>
    <x v="3"/>
    <s v="cesta"/>
    <d v="2020-01-01T00:00:00"/>
    <n v="483.17"/>
  </r>
  <r>
    <x v="3"/>
    <s v="cesta"/>
    <d v="2020-02-01T00:00:00"/>
    <n v="481.78"/>
  </r>
  <r>
    <x v="3"/>
    <s v="cesta"/>
    <d v="2020-03-01T00:00:00"/>
    <n v="484.15"/>
  </r>
  <r>
    <x v="3"/>
    <s v="cesta"/>
    <d v="2020-04-01T00:00:00"/>
    <n v="471.17"/>
  </r>
  <r>
    <x v="3"/>
    <s v="cesta"/>
    <d v="2020-05-01T00:00:00"/>
    <n v="441.09"/>
  </r>
  <r>
    <x v="3"/>
    <s v="cesta"/>
    <d v="2020-06-01T00:00:00"/>
    <n v="450.45"/>
  </r>
  <r>
    <x v="3"/>
    <s v="cesta"/>
    <d v="2020-07-01T00:00:00"/>
    <n v="449.96"/>
  </r>
  <r>
    <x v="3"/>
    <s v="cesta"/>
    <d v="2020-08-01T00:00:00"/>
    <n v="443.28"/>
  </r>
  <r>
    <x v="3"/>
    <s v="cesta"/>
    <d v="2020-09-01T00:00:00"/>
    <n v="445.76"/>
  </r>
  <r>
    <x v="3"/>
    <s v="cesta"/>
    <d v="2020-10-01T00:00:00"/>
    <n v="490.48"/>
  </r>
  <r>
    <x v="3"/>
    <s v="cesta"/>
    <d v="2020-11-01T00:00:00"/>
    <n v="572.64"/>
  </r>
  <r>
    <x v="3"/>
    <s v="cesta"/>
    <d v="2020-12-01T00:00:00"/>
    <n v="591.82000000000005"/>
  </r>
  <r>
    <x v="3"/>
    <s v="cesta"/>
    <d v="2021-01-01T00:00:00"/>
    <n v="614.30999999999995"/>
  </r>
  <r>
    <x v="3"/>
    <s v="cesta"/>
    <d v="2021-02-01T00:00:00"/>
    <n v="591.44000000000005"/>
  </r>
  <r>
    <x v="3"/>
    <s v="cesta"/>
    <d v="2021-03-01T00:00:00"/>
    <n v="580.76"/>
  </r>
  <r>
    <x v="3"/>
    <s v="cesta"/>
    <d v="2021-04-01T00:00:00"/>
    <n v="587.33000000000004"/>
  </r>
  <r>
    <x v="3"/>
    <s v="cesta"/>
    <d v="2021-05-01T00:00:00"/>
    <n v="588.24"/>
  </r>
  <r>
    <x v="3"/>
    <s v="cesta"/>
    <d v="2021-06-01T00:00:00"/>
    <n v="584.99"/>
  </r>
  <r>
    <x v="3"/>
    <s v="cesta"/>
    <d v="2021-07-01T00:00:00"/>
    <n v="582.35"/>
  </r>
  <r>
    <x v="3"/>
    <s v="cesta"/>
    <d v="2021-08-01T00:00:00"/>
    <n v="594.59"/>
  </r>
  <r>
    <x v="3"/>
    <s v="cesta"/>
    <d v="2021-09-01T00:00:00"/>
    <n v="617.65"/>
  </r>
  <r>
    <x v="3"/>
    <s v="cesta"/>
    <d v="2021-10-01T00:00:00"/>
    <n v="644.09"/>
  </r>
  <r>
    <x v="3"/>
    <s v="cesta"/>
    <d v="2021-11-01T00:00:00"/>
    <n v="631.95000000000005"/>
  </r>
  <r>
    <x v="3"/>
    <s v="cesta"/>
    <d v="2021-12-01T00:00:00"/>
    <n v="621.55999999999995"/>
  </r>
  <r>
    <x v="3"/>
    <s v="cesta"/>
    <d v="2022-01-01T00:00:00"/>
    <n v="661.09"/>
  </r>
  <r>
    <x v="3"/>
    <s v="cesta"/>
    <d v="2022-02-01T00:00:00"/>
    <n v="670.98"/>
  </r>
  <r>
    <x v="3"/>
    <s v="cesta"/>
    <d v="2022-03-01T00:00:00"/>
    <n v="704.65"/>
  </r>
  <r>
    <x v="3"/>
    <s v="cesta"/>
    <d v="2022-04-01T00:00:00"/>
    <n v="741.55"/>
  </r>
  <r>
    <x v="3"/>
    <s v="cesta"/>
    <d v="2022-05-01T00:00:00"/>
    <n v="696.34"/>
  </r>
  <r>
    <x v="3"/>
    <s v="cesta"/>
    <d v="2022-06-01T00:00:00"/>
    <n v="698.36"/>
  </r>
  <r>
    <x v="3"/>
    <s v="cesta"/>
    <d v="2022-07-01T00:00:00"/>
    <n v="703.93"/>
  </r>
  <r>
    <x v="3"/>
    <s v="cesta"/>
    <d v="2022-08-01T00:00:00"/>
    <n v="689.31"/>
  </r>
  <r>
    <x v="3"/>
    <s v="cesta"/>
    <d v="2022-09-01T00:00:00"/>
    <n v="687.21"/>
  </r>
  <r>
    <x v="3"/>
    <s v="cesta"/>
    <d v="2022-10-01T00:00:00"/>
    <n v="699.09"/>
  </r>
  <r>
    <x v="3"/>
    <s v="cesta"/>
    <d v="2022-11-01T00:00:00"/>
    <n v="712.2"/>
  </r>
  <r>
    <x v="3"/>
    <s v="cesta"/>
    <d v="2022-12-01T00:00:00"/>
    <n v="728.78"/>
  </r>
  <r>
    <x v="3"/>
    <s v="cesta"/>
    <d v="2023-01-01T00:00:00"/>
    <n v="729.73"/>
  </r>
  <r>
    <x v="3"/>
    <s v="cesta"/>
    <d v="2023-02-01T00:00:00"/>
    <n v="719.74"/>
  </r>
  <r>
    <x v="3"/>
    <s v="cesta"/>
    <d v="2023-03-01T00:00:00"/>
    <n v="693.32"/>
  </r>
  <r>
    <x v="3"/>
    <s v="cesta"/>
    <d v="2023-04-01T00:00:00"/>
    <n v="717.09"/>
  </r>
  <r>
    <x v="3"/>
    <s v="cesta"/>
    <d v="2023-05-01T00:00:00"/>
    <n v="703.43"/>
  </r>
  <r>
    <x v="3"/>
    <s v="cesta"/>
    <d v="2023-06-01T00:00:00"/>
    <n v="687.33"/>
  </r>
  <r>
    <x v="3"/>
    <s v="cesta"/>
    <d v="2023-07-01T00:00:00"/>
    <n v="687.58"/>
  </r>
  <r>
    <x v="3"/>
    <s v="cesta"/>
    <d v="2023-08-01T00:00:00"/>
    <n v="689.98"/>
  </r>
  <r>
    <x v="3"/>
    <s v="cesta"/>
    <d v="2023-09-01T00:00:00"/>
    <n v="662.2"/>
  </r>
  <r>
    <x v="3"/>
    <s v="cesta"/>
    <d v="2023-10-01T00:00:00"/>
    <n v="647.76"/>
  </r>
  <r>
    <x v="3"/>
    <s v="cesta"/>
    <d v="2023-11-01T00:00:00"/>
    <n v="667.58"/>
  </r>
  <r>
    <x v="3"/>
    <s v="cesta"/>
    <d v="2023-12-01T00:00:00"/>
    <n v="698.74"/>
  </r>
  <r>
    <x v="3"/>
    <s v="cesta"/>
    <d v="2024-01-01T00:00:00"/>
    <n v="742.52"/>
  </r>
  <r>
    <x v="3"/>
    <s v="cesta"/>
    <d v="2024-02-01T00:00:00"/>
    <n v="741.91"/>
  </r>
  <r>
    <x v="3"/>
    <s v="cesta"/>
    <d v="2024-03-01T00:00:00"/>
    <n v="747.68"/>
  </r>
  <r>
    <x v="3"/>
    <s v="cesta"/>
    <d v="2024-04-01T00:00:00"/>
    <n v="727.95"/>
  </r>
  <r>
    <x v="3"/>
    <s v="cesta"/>
    <d v="2024-05-01T00:00:00"/>
    <n v="737.37"/>
  </r>
  <r>
    <x v="3"/>
    <s v="cesta"/>
    <d v="2024-06-01T00:00:00"/>
    <n v="738.93"/>
  </r>
  <r>
    <x v="3"/>
    <s v="cesta"/>
    <d v="2024-07-01T00:00:00"/>
    <n v="694.31"/>
  </r>
  <r>
    <x v="3"/>
    <s v="cesta"/>
    <d v="2024-08-01T00:00:00"/>
    <n v="673.14"/>
  </r>
  <r>
    <x v="3"/>
    <s v="cesta"/>
    <d v="2024-09-01T00:00:00"/>
    <n v="682.51"/>
  </r>
  <r>
    <x v="3"/>
    <s v="cesta"/>
    <d v="2024-10-01T00:00:00"/>
    <n v="711.05"/>
  </r>
  <r>
    <x v="3"/>
    <s v="cesta"/>
    <d v="2024-11-01T00:00:00"/>
    <n v="742.25"/>
  </r>
  <r>
    <x v="3"/>
    <s v="cesta"/>
    <d v="2024-12-01T00:00:00"/>
    <n v="743.19"/>
  </r>
  <r>
    <x v="3"/>
    <s v="cesta"/>
    <d v="2025-01-01T00:00:00"/>
    <n v="756.03"/>
  </r>
  <r>
    <x v="3"/>
    <s v="cesta"/>
    <d v="2025-02-01T00:00:00"/>
    <n v="772.3"/>
  </r>
  <r>
    <x v="3"/>
    <s v="cesta"/>
    <d v="2025-03-01T00:00:00"/>
    <n v="782.65"/>
  </r>
  <r>
    <x v="3"/>
    <s v="cesta"/>
    <d v="2025-04-01T00:00:00"/>
    <n v="775.84"/>
  </r>
  <r>
    <x v="3"/>
    <s v="cesta"/>
    <d v="2025-05-01T00:00:00"/>
    <n v="774.33"/>
  </r>
  <r>
    <x v="3"/>
    <s v="cesta"/>
    <d v="2025-06-01T00:00:00"/>
    <n v="773.35"/>
  </r>
  <r>
    <x v="4"/>
    <s v="cesta"/>
    <d v="2015-01-01T00:00:00"/>
    <n v="335.82"/>
  </r>
  <r>
    <x v="4"/>
    <s v="cesta"/>
    <d v="2015-02-01T00:00:00"/>
    <n v="341.64"/>
  </r>
  <r>
    <x v="4"/>
    <s v="cesta"/>
    <d v="2015-03-01T00:00:00"/>
    <n v="349.69"/>
  </r>
  <r>
    <x v="4"/>
    <s v="cesta"/>
    <d v="2015-04-01T00:00:00"/>
    <n v="359.39"/>
  </r>
  <r>
    <x v="4"/>
    <s v="cesta"/>
    <d v="2015-05-01T00:00:00"/>
    <n v="364.8"/>
  </r>
  <r>
    <x v="4"/>
    <s v="cesta"/>
    <d v="2015-06-01T00:00:00"/>
    <n v="359.69"/>
  </r>
  <r>
    <x v="4"/>
    <s v="cesta"/>
    <d v="2015-07-01T00:00:00"/>
    <n v="360.28"/>
  </r>
  <r>
    <x v="4"/>
    <s v="cesta"/>
    <d v="2015-08-01T00:00:00"/>
    <n v="354.94"/>
  </r>
  <r>
    <x v="4"/>
    <s v="cesta"/>
    <d v="2015-09-01T00:00:00"/>
    <n v="356.51"/>
  </r>
  <r>
    <x v="4"/>
    <s v="cesta"/>
    <d v="2015-10-01T00:00:00"/>
    <n v="349.93"/>
  </r>
  <r>
    <x v="4"/>
    <s v="cesta"/>
    <d v="2015-11-01T00:00:00"/>
    <n v="375.26"/>
  </r>
  <r>
    <x v="4"/>
    <s v="cesta"/>
    <d v="2015-12-01T00:00:00"/>
    <n v="387.79"/>
  </r>
  <r>
    <x v="4"/>
    <s v="cesta"/>
    <d v="2016-01-01T00:00:00"/>
    <n v="398.46"/>
  </r>
  <r>
    <x v="4"/>
    <s v="cesta"/>
    <d v="2016-02-01T00:00:00"/>
    <n v="392.75"/>
  </r>
  <r>
    <x v="4"/>
    <s v="cesta"/>
    <d v="2016-03-01T00:00:00"/>
    <n v="400.78"/>
  </r>
  <r>
    <x v="4"/>
    <s v="cesta"/>
    <d v="2016-04-01T00:00:00"/>
    <n v="396.34"/>
  </r>
  <r>
    <x v="4"/>
    <s v="cesta"/>
    <d v="2016-05-01T00:00:00"/>
    <n v="410.05"/>
  </r>
  <r>
    <x v="4"/>
    <s v="cesta"/>
    <d v="2016-06-01T00:00:00"/>
    <n v="416.49"/>
  </r>
  <r>
    <x v="4"/>
    <s v="cesta"/>
    <d v="2016-07-01T00:00:00"/>
    <n v="420.24"/>
  </r>
  <r>
    <x v="4"/>
    <s v="cesta"/>
    <d v="2016-08-01T00:00:00"/>
    <n v="431.14"/>
  </r>
  <r>
    <x v="4"/>
    <s v="cesta"/>
    <d v="2016-09-01T00:00:00"/>
    <n v="424.87"/>
  </r>
  <r>
    <x v="4"/>
    <s v="cesta"/>
    <d v="2016-10-01T00:00:00"/>
    <n v="432.98"/>
  </r>
  <r>
    <x v="4"/>
    <s v="cesta"/>
    <d v="2016-11-01T00:00:00"/>
    <n v="421.38"/>
  </r>
  <r>
    <x v="4"/>
    <s v="cesta"/>
    <d v="2016-12-01T00:00:00"/>
    <n v="409.86"/>
  </r>
  <r>
    <x v="4"/>
    <s v="cesta"/>
    <d v="2017-01-01T00:00:00"/>
    <n v="397.69"/>
  </r>
  <r>
    <x v="4"/>
    <s v="cesta"/>
    <d v="2017-02-01T00:00:00"/>
    <n v="387.27"/>
  </r>
  <r>
    <x v="4"/>
    <s v="cesta"/>
    <d v="2017-03-01T00:00:00"/>
    <n v="389.52"/>
  </r>
  <r>
    <x v="4"/>
    <s v="cesta"/>
    <d v="2017-04-01T00:00:00"/>
    <n v="404.55"/>
  </r>
  <r>
    <x v="4"/>
    <s v="cesta"/>
    <d v="2017-05-01T00:00:00"/>
    <n v="403.51"/>
  </r>
  <r>
    <x v="4"/>
    <s v="cesta"/>
    <d v="2017-06-01T00:00:00"/>
    <n v="394.49"/>
  </r>
  <r>
    <x v="4"/>
    <s v="cesta"/>
    <d v="2017-07-01T00:00:00"/>
    <n v="399"/>
  </r>
  <r>
    <x v="4"/>
    <s v="cesta"/>
    <d v="2017-08-01T00:00:00"/>
    <n v="385.11"/>
  </r>
  <r>
    <x v="4"/>
    <s v="cesta"/>
    <d v="2017-09-01T00:00:00"/>
    <n v="376.46"/>
  </r>
  <r>
    <x v="4"/>
    <s v="cesta"/>
    <d v="2017-10-01T00:00:00"/>
    <n v="388.06"/>
  </r>
  <r>
    <x v="4"/>
    <s v="cesta"/>
    <d v="2017-11-01T00:00:00"/>
    <n v="381.26"/>
  </r>
  <r>
    <x v="4"/>
    <s v="cesta"/>
    <d v="2017-12-01T00:00:00"/>
    <n v="374.94"/>
  </r>
  <r>
    <x v="4"/>
    <s v="cesta"/>
    <d v="2018-01-01T00:00:00"/>
    <n v="399.72"/>
  </r>
  <r>
    <x v="4"/>
    <s v="cesta"/>
    <d v="2018-02-01T00:00:00"/>
    <n v="392.91"/>
  </r>
  <r>
    <x v="4"/>
    <s v="cesta"/>
    <d v="2018-03-01T00:00:00"/>
    <n v="401.65"/>
  </r>
  <r>
    <x v="4"/>
    <s v="cesta"/>
    <d v="2018-04-01T00:00:00"/>
    <n v="394.07"/>
  </r>
  <r>
    <x v="4"/>
    <s v="cesta"/>
    <d v="2018-05-01T00:00:00"/>
    <n v="397.17"/>
  </r>
  <r>
    <x v="4"/>
    <s v="cesta"/>
    <d v="2018-06-01T00:00:00"/>
    <n v="412.44"/>
  </r>
  <r>
    <x v="4"/>
    <s v="cesta"/>
    <d v="2018-07-01T00:00:00"/>
    <n v="391.32"/>
  </r>
  <r>
    <x v="4"/>
    <s v="cesta"/>
    <d v="2018-08-01T00:00:00"/>
    <n v="389.15"/>
  </r>
  <r>
    <x v="4"/>
    <s v="cesta"/>
    <d v="2018-09-01T00:00:00"/>
    <n v="387.39"/>
  </r>
  <r>
    <x v="4"/>
    <s v="cesta"/>
    <d v="2018-10-01T00:00:00"/>
    <n v="406.42"/>
  </r>
  <r>
    <x v="4"/>
    <s v="cesta"/>
    <d v="2018-11-01T00:00:00"/>
    <n v="416.41"/>
  </r>
  <r>
    <x v="4"/>
    <s v="cesta"/>
    <d v="2018-12-01T00:00:00"/>
    <n v="419.05"/>
  </r>
  <r>
    <x v="4"/>
    <s v="cesta"/>
    <d v="2019-01-01T00:00:00"/>
    <n v="401.63"/>
  </r>
  <r>
    <x v="4"/>
    <s v="cesta"/>
    <d v="2019-02-01T00:00:00"/>
    <n v="414.03"/>
  </r>
  <r>
    <x v="4"/>
    <s v="cesta"/>
    <d v="2019-03-01T00:00:00"/>
    <n v="443.86"/>
  </r>
  <r>
    <x v="4"/>
    <s v="cesta"/>
    <d v="2019-04-01T00:00:00"/>
    <n v="461.91"/>
  </r>
  <r>
    <x v="4"/>
    <s v="cesta"/>
    <d v="2019-05-01T00:00:00"/>
    <n v="451.38"/>
  </r>
  <r>
    <x v="4"/>
    <s v="cesta"/>
    <d v="2019-06-01T00:00:00"/>
    <n v="446.54"/>
  </r>
  <r>
    <x v="4"/>
    <s v="cesta"/>
    <d v="2019-07-01T00:00:00"/>
    <n v="443.68"/>
  </r>
  <r>
    <x v="4"/>
    <s v="cesta"/>
    <d v="2019-08-01T00:00:00"/>
    <n v="441.28"/>
  </r>
  <r>
    <x v="4"/>
    <s v="cesta"/>
    <d v="2019-09-01T00:00:00"/>
    <n v="424.81"/>
  </r>
  <r>
    <x v="4"/>
    <s v="cesta"/>
    <d v="2019-10-01T00:00:00"/>
    <n v="421.86"/>
  </r>
  <r>
    <x v="4"/>
    <s v="cesta"/>
    <d v="2019-11-01T00:00:00"/>
    <n v="413.63"/>
  </r>
  <r>
    <x v="4"/>
    <s v="cesta"/>
    <d v="2019-12-01T00:00:00"/>
    <n v="458.88"/>
  </r>
  <r>
    <x v="4"/>
    <s v="cesta"/>
    <d v="2020-01-01T00:00:00"/>
    <n v="452.32"/>
  </r>
  <r>
    <x v="4"/>
    <s v="cesta"/>
    <d v="2020-02-01T00:00:00"/>
    <n v="447.91"/>
  </r>
  <r>
    <x v="4"/>
    <s v="cesta"/>
    <d v="2020-03-01T00:00:00"/>
    <n v="465.47"/>
  </r>
  <r>
    <x v="4"/>
    <s v="cesta"/>
    <d v="2020-04-01T00:00:00"/>
    <n v="511.23"/>
  </r>
  <r>
    <x v="4"/>
    <s v="cesta"/>
    <d v="2020-05-01T00:00:00"/>
    <n v="531.27"/>
  </r>
  <r>
    <x v="4"/>
    <s v="cesta"/>
    <d v="2020-06-01T00:00:00"/>
    <n v="506.04"/>
  </r>
  <r>
    <x v="4"/>
    <s v="cesta"/>
    <d v="2020-07-01T00:00:00"/>
    <n v="526.14"/>
  </r>
  <r>
    <x v="4"/>
    <s v="cesta"/>
    <d v="2020-08-01T00:00:00"/>
    <n v="505.54"/>
  </r>
  <r>
    <x v="4"/>
    <s v="cesta"/>
    <d v="2020-09-01T00:00:00"/>
    <n v="524.25"/>
  </r>
  <r>
    <x v="4"/>
    <s v="cesta"/>
    <d v="2020-10-01T00:00:00"/>
    <n v="521.12"/>
  </r>
  <r>
    <x v="4"/>
    <s v="cesta"/>
    <d v="2020-11-01T00:00:00"/>
    <n v="547.29"/>
  </r>
  <r>
    <x v="4"/>
    <s v="cesta"/>
    <d v="2020-12-01T00:00:00"/>
    <n v="540.36"/>
  </r>
  <r>
    <x v="4"/>
    <s v="cesta"/>
    <d v="2021-01-01T00:00:00"/>
    <n v="559.73"/>
  </r>
  <r>
    <x v="4"/>
    <s v="cesta"/>
    <d v="2021-02-01T00:00:00"/>
    <n v="572.77"/>
  </r>
  <r>
    <x v="4"/>
    <s v="cesta"/>
    <d v="2021-03-01T00:00:00"/>
    <n v="577.16999999999996"/>
  </r>
  <r>
    <x v="4"/>
    <s v="cesta"/>
    <d v="2021-04-01T00:00:00"/>
    <n v="583.61"/>
  </r>
  <r>
    <x v="4"/>
    <s v="cesta"/>
    <d v="2021-05-01T00:00:00"/>
    <n v="608.89"/>
  </r>
  <r>
    <x v="4"/>
    <s v="cesta"/>
    <d v="2021-06-01T00:00:00"/>
    <n v="618.57000000000005"/>
  </r>
  <r>
    <x v="4"/>
    <s v="cesta"/>
    <d v="2021-07-01T00:00:00"/>
    <n v="619.83000000000004"/>
  </r>
  <r>
    <x v="4"/>
    <s v="cesta"/>
    <d v="2021-08-01T00:00:00"/>
    <n v="600.47"/>
  </r>
  <r>
    <x v="4"/>
    <s v="cesta"/>
    <d v="2021-09-01T00:00:00"/>
    <n v="610.85"/>
  </r>
  <r>
    <x v="4"/>
    <s v="cesta"/>
    <d v="2021-10-01T00:00:00"/>
    <n v="639.89"/>
  </r>
  <r>
    <x v="4"/>
    <s v="cesta"/>
    <d v="2021-11-01T00:00:00"/>
    <n v="638.96"/>
  </r>
  <r>
    <x v="4"/>
    <s v="cesta"/>
    <d v="2021-12-01T00:00:00"/>
    <n v="628.46"/>
  </r>
  <r>
    <x v="4"/>
    <s v="cesta"/>
    <d v="2022-01-01T00:00:00"/>
    <n v="636.57000000000005"/>
  </r>
  <r>
    <x v="4"/>
    <s v="cesta"/>
    <d v="2022-02-01T00:00:00"/>
    <n v="652.9"/>
  </r>
  <r>
    <x v="4"/>
    <s v="cesta"/>
    <d v="2022-03-01T00:00:00"/>
    <n v="701.59"/>
  </r>
  <r>
    <x v="4"/>
    <s v="cesta"/>
    <d v="2022-04-01T00:00:00"/>
    <n v="739.28"/>
  </r>
  <r>
    <x v="4"/>
    <s v="cesta"/>
    <d v="2022-05-01T00:00:00"/>
    <n v="713.68"/>
  </r>
  <r>
    <x v="4"/>
    <s v="cesta"/>
    <d v="2022-06-01T00:00:00"/>
    <n v="701.26"/>
  </r>
  <r>
    <x v="4"/>
    <s v="cesta"/>
    <d v="2022-07-01T00:00:00"/>
    <n v="688.78"/>
  </r>
  <r>
    <x v="4"/>
    <s v="cesta"/>
    <d v="2022-08-01T00:00:00"/>
    <n v="685.69"/>
  </r>
  <r>
    <x v="4"/>
    <s v="cesta"/>
    <d v="2022-09-01T00:00:00"/>
    <n v="678.73"/>
  </r>
  <r>
    <x v="4"/>
    <s v="cesta"/>
    <d v="2022-10-01T00:00:00"/>
    <n v="696.31"/>
  </r>
  <r>
    <x v="4"/>
    <s v="cesta"/>
    <d v="2022-11-01T00:00:00"/>
    <n v="709.84"/>
  </r>
  <r>
    <x v="4"/>
    <s v="cesta"/>
    <d v="2022-12-01T00:00:00"/>
    <n v="698.66"/>
  </r>
  <r>
    <x v="4"/>
    <s v="cesta"/>
    <d v="2023-01-01T00:00:00"/>
    <n v="695.18"/>
  </r>
  <r>
    <x v="4"/>
    <s v="cesta"/>
    <d v="2023-02-01T00:00:00"/>
    <n v="678.9"/>
  </r>
  <r>
    <x v="4"/>
    <s v="cesta"/>
    <d v="2023-03-01T00:00:00"/>
    <n v="679.76"/>
  </r>
  <r>
    <x v="4"/>
    <s v="cesta"/>
    <d v="2023-04-01T00:00:00"/>
    <n v="694.05"/>
  </r>
  <r>
    <x v="4"/>
    <s v="cesta"/>
    <d v="2023-05-01T00:00:00"/>
    <n v="703.83"/>
  </r>
  <r>
    <x v="4"/>
    <s v="cesta"/>
    <d v="2023-06-01T00:00:00"/>
    <n v="701.22"/>
  </r>
  <r>
    <x v="4"/>
    <s v="cesta"/>
    <d v="2023-07-01T00:00:00"/>
    <n v="690.31"/>
  </r>
  <r>
    <x v="4"/>
    <s v="cesta"/>
    <d v="2023-08-01T00:00:00"/>
    <n v="685.13"/>
  </r>
  <r>
    <x v="4"/>
    <s v="cesta"/>
    <d v="2023-09-01T00:00:00"/>
    <n v="681.23"/>
  </r>
  <r>
    <x v="4"/>
    <s v="cesta"/>
    <d v="2023-10-01T00:00:00"/>
    <n v="675.01"/>
  </r>
  <r>
    <x v="4"/>
    <s v="cesta"/>
    <d v="2023-11-01T00:00:00"/>
    <n v="683.44"/>
  </r>
  <r>
    <x v="4"/>
    <s v="cesta"/>
    <d v="2023-12-01T00:00:00"/>
    <n v="697.22"/>
  </r>
  <r>
    <x v="4"/>
    <s v="cesta"/>
    <d v="2024-01-01T00:00:00"/>
    <n v="726.23"/>
  </r>
  <r>
    <x v="4"/>
    <s v="cesta"/>
    <d v="2024-02-01T00:00:00"/>
    <n v="731.5"/>
  </r>
  <r>
    <x v="4"/>
    <s v="cesta"/>
    <d v="2024-03-01T00:00:00"/>
    <n v="728.06"/>
  </r>
  <r>
    <x v="4"/>
    <s v="cesta"/>
    <d v="2024-04-01T00:00:00"/>
    <n v="726.64"/>
  </r>
  <r>
    <x v="4"/>
    <s v="cesta"/>
    <d v="2024-05-01T00:00:00"/>
    <n v="741.46"/>
  </r>
  <r>
    <x v="4"/>
    <s v="cesta"/>
    <d v="2024-06-01T00:00:00"/>
    <n v="754.91"/>
  </r>
  <r>
    <x v="4"/>
    <s v="cesta"/>
    <d v="2024-07-01T00:00:00"/>
    <n v="718.32"/>
  </r>
  <r>
    <x v="4"/>
    <s v="cesta"/>
    <d v="2024-08-01T00:00:00"/>
    <n v="697.08"/>
  </r>
  <r>
    <x v="4"/>
    <s v="cesta"/>
    <d v="2024-09-01T00:00:00"/>
    <n v="698.44"/>
  </r>
  <r>
    <x v="4"/>
    <s v="cesta"/>
    <d v="2024-10-01T00:00:00"/>
    <n v="726.62"/>
  </r>
  <r>
    <x v="4"/>
    <s v="cesta"/>
    <d v="2024-11-01T00:00:00"/>
    <n v="739.4"/>
  </r>
  <r>
    <x v="4"/>
    <s v="cesta"/>
    <d v="2024-12-01T00:00:00"/>
    <n v="741.9"/>
  </r>
  <r>
    <x v="4"/>
    <s v="cesta"/>
    <d v="2025-01-01T00:00:00"/>
    <n v="743.69"/>
  </r>
  <r>
    <x v="4"/>
    <s v="cesta"/>
    <d v="2025-02-01T00:00:00"/>
    <n v="745.88"/>
  </r>
  <r>
    <x v="4"/>
    <s v="cesta"/>
    <d v="2025-03-01T00:00:00"/>
    <n v="772.83"/>
  </r>
  <r>
    <x v="4"/>
    <s v="cesta"/>
    <d v="2025-04-01T00:00:00"/>
    <n v="793.72"/>
  </r>
  <r>
    <x v="4"/>
    <s v="cesta"/>
    <d v="2025-05-01T00:00:00"/>
    <n v="791.39"/>
  </r>
  <r>
    <x v="4"/>
    <s v="cesta"/>
    <d v="2025-06-01T00:00:00"/>
    <n v="789.86"/>
  </r>
  <r>
    <x v="5"/>
    <s v="cesta"/>
    <d v="2015-01-01T00:00:00"/>
    <n v="360.64"/>
  </r>
  <r>
    <x v="5"/>
    <s v="cesta"/>
    <d v="2015-02-01T00:00:00"/>
    <n v="359.76"/>
  </r>
  <r>
    <x v="5"/>
    <s v="cesta"/>
    <d v="2015-03-01T00:00:00"/>
    <n v="358.14"/>
  </r>
  <r>
    <x v="5"/>
    <s v="cesta"/>
    <d v="2015-04-01T00:00:00"/>
    <n v="368.32"/>
  </r>
  <r>
    <x v="5"/>
    <s v="cesta"/>
    <d v="2015-05-01T00:00:00"/>
    <n v="394.29"/>
  </r>
  <r>
    <x v="5"/>
    <s v="cesta"/>
    <d v="2015-06-01T00:00:00"/>
    <n v="386.1"/>
  </r>
  <r>
    <x v="5"/>
    <s v="cesta"/>
    <d v="2015-07-01T00:00:00"/>
    <n v="376.69"/>
  </r>
  <r>
    <x v="5"/>
    <s v="cesta"/>
    <d v="2015-08-01T00:00:00"/>
    <n v="372.79"/>
  </r>
  <r>
    <x v="5"/>
    <s v="cesta"/>
    <d v="2015-09-01T00:00:00"/>
    <n v="383.1"/>
  </r>
  <r>
    <x v="5"/>
    <s v="cesta"/>
    <d v="2015-10-01T00:00:00"/>
    <n v="378.45"/>
  </r>
  <r>
    <x v="5"/>
    <s v="cesta"/>
    <d v="2015-11-01T00:00:00"/>
    <n v="391.85"/>
  </r>
  <r>
    <x v="5"/>
    <s v="cesta"/>
    <d v="2015-12-01T00:00:00"/>
    <n v="414.12"/>
  </r>
  <r>
    <x v="5"/>
    <s v="cesta"/>
    <d v="2016-01-01T00:00:00"/>
    <n v="437.24"/>
  </r>
  <r>
    <x v="5"/>
    <s v="cesta"/>
    <d v="2016-02-01T00:00:00"/>
    <n v="430.69"/>
  </r>
  <r>
    <x v="5"/>
    <s v="cesta"/>
    <d v="2016-03-01T00:00:00"/>
    <n v="441.06"/>
  </r>
  <r>
    <x v="5"/>
    <s v="cesta"/>
    <d v="2016-04-01T00:00:00"/>
    <n v="438.56"/>
  </r>
  <r>
    <x v="5"/>
    <s v="cesta"/>
    <d v="2016-05-01T00:00:00"/>
    <n v="420.63"/>
  </r>
  <r>
    <x v="5"/>
    <s v="cesta"/>
    <d v="2016-06-01T00:00:00"/>
    <n v="463.24"/>
  </r>
  <r>
    <x v="5"/>
    <s v="cesta"/>
    <d v="2016-07-01T00:00:00"/>
    <n v="443.11"/>
  </r>
  <r>
    <x v="5"/>
    <s v="cesta"/>
    <d v="2016-08-01T00:00:00"/>
    <n v="457.11"/>
  </r>
  <r>
    <x v="5"/>
    <s v="cesta"/>
    <d v="2016-09-01T00:00:00"/>
    <n v="449.05"/>
  </r>
  <r>
    <x v="5"/>
    <s v="cesta"/>
    <d v="2016-10-01T00:00:00"/>
    <n v="475.32"/>
  </r>
  <r>
    <x v="5"/>
    <s v="cesta"/>
    <d v="2016-11-01T00:00:00"/>
    <n v="466.25"/>
  </r>
  <r>
    <x v="5"/>
    <s v="cesta"/>
    <d v="2016-12-01T00:00:00"/>
    <n v="453.8"/>
  </r>
  <r>
    <x v="5"/>
    <s v="cesta"/>
    <d v="2017-01-01T00:00:00"/>
    <n v="441.92"/>
  </r>
  <r>
    <x v="5"/>
    <s v="cesta"/>
    <d v="2017-02-01T00:00:00"/>
    <n v="434.14"/>
  </r>
  <r>
    <x v="5"/>
    <s v="cesta"/>
    <d v="2017-03-01T00:00:00"/>
    <n v="433.7"/>
  </r>
  <r>
    <x v="5"/>
    <s v="cesta"/>
    <d v="2017-04-01T00:00:00"/>
    <n v="453.54"/>
  </r>
  <r>
    <x v="5"/>
    <s v="cesta"/>
    <d v="2017-05-01T00:00:00"/>
    <n v="446.52"/>
  </r>
  <r>
    <x v="5"/>
    <s v="cesta"/>
    <d v="2017-06-01T00:00:00"/>
    <n v="432.4"/>
  </r>
  <r>
    <x v="5"/>
    <s v="cesta"/>
    <d v="2017-07-01T00:00:00"/>
    <n v="439.87"/>
  </r>
  <r>
    <x v="5"/>
    <s v="cesta"/>
    <d v="2017-08-01T00:00:00"/>
    <n v="426.3"/>
  </r>
  <r>
    <x v="5"/>
    <s v="cesta"/>
    <d v="2017-09-01T00:00:00"/>
    <n v="419.17"/>
  </r>
  <r>
    <x v="5"/>
    <s v="cesta"/>
    <d v="2017-10-01T00:00:00"/>
    <n v="416.41"/>
  </r>
  <r>
    <x v="5"/>
    <s v="cesta"/>
    <d v="2017-11-01T00:00:00"/>
    <n v="415"/>
  </r>
  <r>
    <x v="5"/>
    <s v="cesta"/>
    <d v="2017-12-01T00:00:00"/>
    <n v="418.61"/>
  </r>
  <r>
    <x v="5"/>
    <s v="cesta"/>
    <d v="2018-01-01T00:00:00"/>
    <n v="430.52"/>
  </r>
  <r>
    <x v="5"/>
    <s v="cesta"/>
    <d v="2018-02-01T00:00:00"/>
    <n v="425.05"/>
  </r>
  <r>
    <x v="5"/>
    <s v="cesta"/>
    <d v="2018-03-01T00:00:00"/>
    <n v="426.79"/>
  </r>
  <r>
    <x v="5"/>
    <s v="cesta"/>
    <d v="2018-04-01T00:00:00"/>
    <n v="426.73"/>
  </r>
  <r>
    <x v="5"/>
    <s v="cesta"/>
    <d v="2018-05-01T00:00:00"/>
    <n v="441.62"/>
  </r>
  <r>
    <x v="5"/>
    <s v="cesta"/>
    <d v="2018-06-01T00:00:00"/>
    <n v="425.3"/>
  </r>
  <r>
    <x v="5"/>
    <s v="cesta"/>
    <d v="2018-07-01T00:00:00"/>
    <n v="415.27"/>
  </r>
  <r>
    <x v="5"/>
    <s v="cesta"/>
    <d v="2018-08-01T00:00:00"/>
    <n v="431.3"/>
  </r>
  <r>
    <x v="5"/>
    <s v="cesta"/>
    <d v="2018-09-01T00:00:00"/>
    <n v="435.47"/>
  </r>
  <r>
    <x v="5"/>
    <s v="cesta"/>
    <d v="2018-10-01T00:00:00"/>
    <n v="450.35"/>
  </r>
  <r>
    <x v="5"/>
    <s v="cesta"/>
    <d v="2018-11-01T00:00:00"/>
    <n v="454.87"/>
  </r>
  <r>
    <x v="5"/>
    <s v="cesta"/>
    <d v="2018-12-01T00:00:00"/>
    <n v="457.82"/>
  </r>
  <r>
    <x v="5"/>
    <s v="cesta"/>
    <d v="2019-01-01T00:00:00"/>
    <n v="437.55"/>
  </r>
  <r>
    <x v="5"/>
    <s v="cesta"/>
    <d v="2019-02-01T00:00:00"/>
    <n v="441.89"/>
  </r>
  <r>
    <x v="5"/>
    <s v="cesta"/>
    <d v="2019-03-01T00:00:00"/>
    <n v="474.07"/>
  </r>
  <r>
    <x v="5"/>
    <s v="cesta"/>
    <d v="2019-04-01T00:00:00"/>
    <n v="482.3"/>
  </r>
  <r>
    <x v="5"/>
    <s v="cesta"/>
    <d v="2019-05-01T00:00:00"/>
    <n v="487.93"/>
  </r>
  <r>
    <x v="5"/>
    <s v="cesta"/>
    <d v="2019-06-01T00:00:00"/>
    <n v="494.96"/>
  </r>
  <r>
    <x v="5"/>
    <s v="cesta"/>
    <d v="2019-07-01T00:00:00"/>
    <n v="483.2"/>
  </r>
  <r>
    <x v="5"/>
    <s v="cesta"/>
    <d v="2019-08-01T00:00:00"/>
    <n v="464.24"/>
  </r>
  <r>
    <x v="5"/>
    <s v="cesta"/>
    <d v="2019-09-01T00:00:00"/>
    <n v="454.94"/>
  </r>
  <r>
    <x v="5"/>
    <s v="cesta"/>
    <d v="2019-10-01T00:00:00"/>
    <n v="458.28"/>
  </r>
  <r>
    <x v="5"/>
    <s v="cesta"/>
    <d v="2019-11-01T00:00:00"/>
    <n v="478.68"/>
  </r>
  <r>
    <x v="5"/>
    <s v="cesta"/>
    <d v="2019-12-01T00:00:00"/>
    <n v="511.7"/>
  </r>
  <r>
    <x v="5"/>
    <s v="cesta"/>
    <d v="2020-01-01T00:00:00"/>
    <n v="489.13"/>
  </r>
  <r>
    <x v="5"/>
    <s v="cesta"/>
    <d v="2020-02-01T00:00:00"/>
    <n v="493.15"/>
  </r>
  <r>
    <x v="5"/>
    <s v="cesta"/>
    <d v="2020-03-01T00:00:00"/>
    <n v="517.13"/>
  </r>
  <r>
    <x v="5"/>
    <s v="cesta"/>
    <d v="2020-04-01T00:00:00"/>
    <n v="523.79999999999995"/>
  </r>
  <r>
    <x v="5"/>
    <s v="cesta"/>
    <d v="2020-05-01T00:00:00"/>
    <n v="524.07000000000005"/>
  </r>
  <r>
    <x v="5"/>
    <s v="cesta"/>
    <d v="2020-06-01T00:00:00"/>
    <n v="516.97"/>
  </r>
  <r>
    <x v="5"/>
    <s v="cesta"/>
    <d v="2020-07-01T00:00:00"/>
    <n v="522.03"/>
  </r>
  <r>
    <x v="5"/>
    <s v="cesta"/>
    <d v="2020-08-01T00:00:00"/>
    <n v="530.41999999999996"/>
  </r>
  <r>
    <x v="5"/>
    <s v="cesta"/>
    <d v="2020-09-01T00:00:00"/>
    <n v="582.4"/>
  </r>
  <r>
    <x v="5"/>
    <s v="cesta"/>
    <d v="2020-10-01T00:00:00"/>
    <n v="584.76"/>
  </r>
  <r>
    <x v="5"/>
    <s v="cesta"/>
    <d v="2020-11-01T00:00:00"/>
    <n v="616.98"/>
  </r>
  <r>
    <x v="5"/>
    <s v="cesta"/>
    <d v="2020-12-01T00:00:00"/>
    <n v="615.57000000000005"/>
  </r>
  <r>
    <x v="5"/>
    <s v="cesta"/>
    <d v="2021-01-01T00:00:00"/>
    <n v="651.37"/>
  </r>
  <r>
    <x v="5"/>
    <s v="cesta"/>
    <d v="2021-02-01T00:00:00"/>
    <n v="639.80999999999995"/>
  </r>
  <r>
    <x v="5"/>
    <s v="cesta"/>
    <d v="2021-03-01T00:00:00"/>
    <n v="632.75"/>
  </r>
  <r>
    <x v="5"/>
    <s v="cesta"/>
    <d v="2021-04-01T00:00:00"/>
    <n v="634.53"/>
  </r>
  <r>
    <x v="5"/>
    <s v="cesta"/>
    <d v="2021-05-01T00:00:00"/>
    <n v="636.37"/>
  </r>
  <r>
    <x v="5"/>
    <s v="cesta"/>
    <d v="2021-06-01T00:00:00"/>
    <n v="645.38"/>
  </r>
  <r>
    <x v="5"/>
    <s v="cesta"/>
    <d v="2021-07-01T00:00:00"/>
    <n v="654.42999999999995"/>
  </r>
  <r>
    <x v="5"/>
    <s v="cesta"/>
    <d v="2021-08-01T00:00:00"/>
    <n v="659"/>
  </r>
  <r>
    <x v="5"/>
    <s v="cesta"/>
    <d v="2021-09-01T00:00:00"/>
    <n v="662.85"/>
  </r>
  <r>
    <x v="5"/>
    <s v="cesta"/>
    <d v="2021-10-01T00:00:00"/>
    <n v="700.69"/>
  </r>
  <r>
    <x v="5"/>
    <s v="cesta"/>
    <d v="2021-11-01T00:00:00"/>
    <n v="710.53"/>
  </r>
  <r>
    <x v="5"/>
    <s v="cesta"/>
    <d v="2021-12-01T00:00:00"/>
    <n v="689.56"/>
  </r>
  <r>
    <x v="5"/>
    <s v="cesta"/>
    <d v="2022-01-01T00:00:00"/>
    <n v="695.59"/>
  </r>
  <r>
    <x v="5"/>
    <s v="cesta"/>
    <d v="2022-02-01T00:00:00"/>
    <n v="707.56"/>
  </r>
  <r>
    <x v="5"/>
    <s v="cesta"/>
    <d v="2022-03-01T00:00:00"/>
    <n v="745.47"/>
  </r>
  <r>
    <x v="5"/>
    <s v="cesta"/>
    <d v="2022-04-01T00:00:00"/>
    <n v="788"/>
  </r>
  <r>
    <x v="5"/>
    <s v="cesta"/>
    <d v="2022-05-01T00:00:00"/>
    <n v="772.07"/>
  </r>
  <r>
    <x v="5"/>
    <s v="cesta"/>
    <d v="2022-06-01T00:00:00"/>
    <n v="760.41"/>
  </r>
  <r>
    <x v="5"/>
    <s v="cesta"/>
    <d v="2022-07-01T00:00:00"/>
    <n v="753.73"/>
  </r>
  <r>
    <x v="5"/>
    <s v="cesta"/>
    <d v="2022-08-01T00:00:00"/>
    <n v="746.21"/>
  </r>
  <r>
    <x v="5"/>
    <s v="cesta"/>
    <d v="2022-09-01T00:00:00"/>
    <n v="746.55"/>
  </r>
  <r>
    <x v="5"/>
    <s v="cesta"/>
    <d v="2022-10-01T00:00:00"/>
    <n v="753.82"/>
  </r>
  <r>
    <x v="5"/>
    <s v="cesta"/>
    <d v="2022-11-01T00:00:00"/>
    <n v="776.14"/>
  </r>
  <r>
    <x v="5"/>
    <s v="cesta"/>
    <d v="2022-12-01T00:00:00"/>
    <n v="769.19"/>
  </r>
  <r>
    <x v="5"/>
    <s v="cesta"/>
    <d v="2023-01-01T00:00:00"/>
    <n v="760.65"/>
  </r>
  <r>
    <x v="5"/>
    <s v="cesta"/>
    <d v="2023-02-01T00:00:00"/>
    <n v="746.95"/>
  </r>
  <r>
    <x v="5"/>
    <s v="cesta"/>
    <d v="2023-03-01T00:00:00"/>
    <n v="742.23"/>
  </r>
  <r>
    <x v="5"/>
    <s v="cesta"/>
    <d v="2023-04-01T00:00:00"/>
    <n v="769.35"/>
  </r>
  <r>
    <x v="5"/>
    <s v="cesta"/>
    <d v="2023-05-01T00:00:00"/>
    <n v="765.13"/>
  </r>
  <r>
    <x v="5"/>
    <s v="cesta"/>
    <d v="2023-06-01T00:00:00"/>
    <n v="771.54"/>
  </r>
  <r>
    <x v="5"/>
    <s v="cesta"/>
    <d v="2023-07-01T00:00:00"/>
    <n v="746.66"/>
  </r>
  <r>
    <x v="5"/>
    <s v="cesta"/>
    <d v="2023-08-01T00:00:00"/>
    <n v="743.94"/>
  </r>
  <r>
    <x v="5"/>
    <s v="cesta"/>
    <d v="2023-09-01T00:00:00"/>
    <n v="747.64"/>
  </r>
  <r>
    <x v="5"/>
    <s v="cesta"/>
    <d v="2023-10-01T00:00:00"/>
    <n v="738.77"/>
  </r>
  <r>
    <x v="5"/>
    <s v="cesta"/>
    <d v="2023-11-01T00:00:00"/>
    <n v="747.59"/>
  </r>
  <r>
    <x v="5"/>
    <s v="cesta"/>
    <d v="2023-12-01T00:00:00"/>
    <n v="758.5"/>
  </r>
  <r>
    <x v="5"/>
    <s v="cesta"/>
    <d v="2024-01-01T00:00:00"/>
    <n v="800.31"/>
  </r>
  <r>
    <x v="5"/>
    <s v="cesta"/>
    <d v="2024-02-01T00:00:00"/>
    <n v="783.36"/>
  </r>
  <r>
    <x v="5"/>
    <s v="cesta"/>
    <d v="2024-03-01T00:00:00"/>
    <n v="791.21"/>
  </r>
  <r>
    <x v="5"/>
    <s v="cesta"/>
    <d v="2024-04-01T00:00:00"/>
    <n v="781.53"/>
  </r>
  <r>
    <x v="5"/>
    <s v="cesta"/>
    <d v="2024-05-01T00:00:00"/>
    <n v="801.03"/>
  </r>
  <r>
    <x v="5"/>
    <s v="cesta"/>
    <d v="2024-06-01T00:00:00"/>
    <n v="816.06"/>
  </r>
  <r>
    <x v="5"/>
    <s v="cesta"/>
    <d v="2024-07-01T00:00:00"/>
    <n v="782.73"/>
  </r>
  <r>
    <x v="5"/>
    <s v="cesta"/>
    <d v="2024-08-01T00:00:00"/>
    <n v="756.31"/>
  </r>
  <r>
    <x v="5"/>
    <s v="cesta"/>
    <d v="2024-09-01T00:00:00"/>
    <n v="768.33"/>
  </r>
  <r>
    <x v="5"/>
    <s v="cesta"/>
    <d v="2024-10-01T00:00:00"/>
    <n v="796.94"/>
  </r>
  <r>
    <x v="5"/>
    <s v="cesta"/>
    <d v="2024-11-01T00:00:00"/>
    <n v="799.62"/>
  </r>
  <r>
    <x v="5"/>
    <s v="cesta"/>
    <d v="2024-12-01T00:00:00"/>
    <n v="809.46"/>
  </r>
  <r>
    <x v="5"/>
    <s v="cesta"/>
    <d v="2025-01-01T00:00:00"/>
    <n v="808.75"/>
  </r>
  <r>
    <x v="5"/>
    <s v="cesta"/>
    <d v="2025-02-01T00:00:00"/>
    <n v="807.71"/>
  </r>
  <r>
    <x v="5"/>
    <s v="cesta"/>
    <d v="2025-03-01T00:00:00"/>
    <n v="831.92"/>
  </r>
  <r>
    <x v="5"/>
    <s v="cesta"/>
    <d v="2025-04-01T00:00:00"/>
    <n v="858.2"/>
  </r>
  <r>
    <x v="5"/>
    <s v="cesta"/>
    <d v="2025-05-01T00:00:00"/>
    <n v="858.93"/>
  </r>
  <r>
    <x v="5"/>
    <s v="cesta"/>
    <d v="2025-06-01T00:00:00"/>
    <n v="867.83"/>
  </r>
  <r>
    <x v="6"/>
    <s v="cesta"/>
    <d v="2015-01-01T00:00:00"/>
    <n v="288.99"/>
  </r>
  <r>
    <x v="6"/>
    <s v="cesta"/>
    <d v="2015-02-01T00:00:00"/>
    <n v="292.23"/>
  </r>
  <r>
    <x v="6"/>
    <s v="cesta"/>
    <d v="2015-03-01T00:00:00"/>
    <n v="304.58999999999997"/>
  </r>
  <r>
    <x v="6"/>
    <s v="cesta"/>
    <d v="2015-04-01T00:00:00"/>
    <n v="316.2"/>
  </r>
  <r>
    <x v="6"/>
    <s v="cesta"/>
    <d v="2015-05-01T00:00:00"/>
    <n v="344.3"/>
  </r>
  <r>
    <x v="6"/>
    <s v="cesta"/>
    <d v="2015-06-01T00:00:00"/>
    <n v="325.39999999999998"/>
  </r>
  <r>
    <x v="6"/>
    <s v="cesta"/>
    <d v="2015-07-01T00:00:00"/>
    <n v="332.82"/>
  </r>
  <r>
    <x v="6"/>
    <s v="cesta"/>
    <d v="2015-08-01T00:00:00"/>
    <n v="317.52"/>
  </r>
  <r>
    <x v="6"/>
    <s v="cesta"/>
    <d v="2015-09-01T00:00:00"/>
    <n v="305.2"/>
  </r>
  <r>
    <x v="6"/>
    <s v="cesta"/>
    <d v="2015-10-01T00:00:00"/>
    <n v="306.23"/>
  </r>
  <r>
    <x v="6"/>
    <s v="cesta"/>
    <d v="2015-11-01T00:00:00"/>
    <n v="317.86"/>
  </r>
  <r>
    <x v="6"/>
    <s v="cesta"/>
    <d v="2015-12-01T00:00:00"/>
    <n v="335.59"/>
  </r>
  <r>
    <x v="6"/>
    <s v="cesta"/>
    <d v="2016-01-01T00:00:00"/>
    <n v="368.64"/>
  </r>
  <r>
    <x v="6"/>
    <s v="cesta"/>
    <d v="2016-02-01T00:00:00"/>
    <n v="387.63"/>
  </r>
  <r>
    <x v="6"/>
    <s v="cesta"/>
    <d v="2016-03-01T00:00:00"/>
    <n v="386.3"/>
  </r>
  <r>
    <x v="6"/>
    <s v="cesta"/>
    <d v="2016-04-01T00:00:00"/>
    <n v="385.14"/>
  </r>
  <r>
    <x v="6"/>
    <s v="cesta"/>
    <d v="2016-05-01T00:00:00"/>
    <n v="375.13"/>
  </r>
  <r>
    <x v="6"/>
    <s v="cesta"/>
    <d v="2016-06-01T00:00:00"/>
    <n v="386.78"/>
  </r>
  <r>
    <x v="6"/>
    <s v="cesta"/>
    <d v="2016-07-01T00:00:00"/>
    <n v="403.38"/>
  </r>
  <r>
    <x v="6"/>
    <s v="cesta"/>
    <d v="2016-08-01T00:00:00"/>
    <n v="410.11"/>
  </r>
  <r>
    <x v="6"/>
    <s v="cesta"/>
    <d v="2016-09-01T00:00:00"/>
    <n v="415.94"/>
  </r>
  <r>
    <x v="6"/>
    <s v="cesta"/>
    <d v="2016-10-01T00:00:00"/>
    <n v="415.41"/>
  </r>
  <r>
    <x v="6"/>
    <s v="cesta"/>
    <d v="2016-11-01T00:00:00"/>
    <n v="406.52"/>
  </r>
  <r>
    <x v="6"/>
    <s v="cesta"/>
    <d v="2016-12-01T00:00:00"/>
    <n v="394.19"/>
  </r>
  <r>
    <x v="6"/>
    <s v="cesta"/>
    <d v="2017-01-01T00:00:00"/>
    <n v="412.48"/>
  </r>
  <r>
    <x v="6"/>
    <s v="cesta"/>
    <d v="2017-02-01T00:00:00"/>
    <n v="401.91"/>
  </r>
  <r>
    <x v="6"/>
    <s v="cesta"/>
    <d v="2017-03-01T00:00:00"/>
    <n v="408.83"/>
  </r>
  <r>
    <x v="6"/>
    <s v="cesta"/>
    <d v="2017-04-01T00:00:00"/>
    <n v="423.08"/>
  </r>
  <r>
    <x v="6"/>
    <s v="cesta"/>
    <d v="2017-05-01T00:00:00"/>
    <n v="404.5"/>
  </r>
  <r>
    <x v="6"/>
    <s v="cesta"/>
    <d v="2017-06-01T00:00:00"/>
    <n v="408.49"/>
  </r>
  <r>
    <x v="6"/>
    <s v="cesta"/>
    <d v="2017-07-01T00:00:00"/>
    <n v="400.67"/>
  </r>
  <r>
    <x v="6"/>
    <s v="cesta"/>
    <d v="2017-08-01T00:00:00"/>
    <n v="389.35"/>
  </r>
  <r>
    <x v="6"/>
    <s v="cesta"/>
    <d v="2017-09-01T00:00:00"/>
    <n v="370.46"/>
  </r>
  <r>
    <x v="6"/>
    <s v="cesta"/>
    <d v="2017-10-01T00:00:00"/>
    <n v="367.61"/>
  </r>
  <r>
    <x v="6"/>
    <s v="cesta"/>
    <d v="2017-11-01T00:00:00"/>
    <n v="363.92"/>
  </r>
  <r>
    <x v="6"/>
    <s v="cesta"/>
    <d v="2017-12-01T00:00:00"/>
    <n v="367.45"/>
  </r>
  <r>
    <x v="6"/>
    <s v="cesta"/>
    <d v="2018-01-01T00:00:00"/>
    <n v="387.61"/>
  </r>
  <r>
    <x v="6"/>
    <s v="cesta"/>
    <d v="2018-02-01T00:00:00"/>
    <n v="395.47"/>
  </r>
  <r>
    <x v="6"/>
    <s v="cesta"/>
    <d v="2018-03-01T00:00:00"/>
    <n v="389"/>
  </r>
  <r>
    <x v="6"/>
    <s v="cesta"/>
    <d v="2018-04-01T00:00:00"/>
    <n v="378.98"/>
  </r>
  <r>
    <x v="6"/>
    <s v="cesta"/>
    <d v="2018-05-01T00:00:00"/>
    <n v="390.79"/>
  </r>
  <r>
    <x v="6"/>
    <s v="cesta"/>
    <d v="2018-06-01T00:00:00"/>
    <n v="392.35"/>
  </r>
  <r>
    <x v="6"/>
    <s v="cesta"/>
    <d v="2018-07-01T00:00:00"/>
    <n v="379.26"/>
  </r>
  <r>
    <x v="6"/>
    <s v="cesta"/>
    <d v="2018-08-01T00:00:00"/>
    <n v="372.89"/>
  </r>
  <r>
    <x v="6"/>
    <s v="cesta"/>
    <d v="2018-09-01T00:00:00"/>
    <n v="367.14"/>
  </r>
  <r>
    <x v="6"/>
    <s v="cesta"/>
    <d v="2018-10-01T00:00:00"/>
    <n v="393.4"/>
  </r>
  <r>
    <x v="6"/>
    <s v="cesta"/>
    <d v="2018-11-01T00:00:00"/>
    <n v="411.66"/>
  </r>
  <r>
    <x v="6"/>
    <s v="cesta"/>
    <d v="2018-12-01T00:00:00"/>
    <n v="397.34"/>
  </r>
  <r>
    <x v="6"/>
    <s v="cesta"/>
    <d v="2019-01-01T00:00:00"/>
    <n v="403.99"/>
  </r>
  <r>
    <x v="6"/>
    <s v="cesta"/>
    <d v="2019-02-01T00:00:00"/>
    <n v="416.86"/>
  </r>
  <r>
    <x v="6"/>
    <s v="cesta"/>
    <d v="2019-03-01T00:00:00"/>
    <n v="445.12"/>
  </r>
  <r>
    <x v="6"/>
    <s v="cesta"/>
    <d v="2019-04-01T00:00:00"/>
    <n v="459.2"/>
  </r>
  <r>
    <x v="6"/>
    <s v="cesta"/>
    <d v="2019-05-01T00:00:00"/>
    <n v="444.44"/>
  </r>
  <r>
    <x v="6"/>
    <s v="cesta"/>
    <d v="2019-06-01T00:00:00"/>
    <n v="448.73"/>
  </r>
  <r>
    <x v="6"/>
    <s v="cesta"/>
    <d v="2019-07-01T00:00:00"/>
    <n v="432.96"/>
  </r>
  <r>
    <x v="6"/>
    <s v="cesta"/>
    <d v="2019-08-01T00:00:00"/>
    <n v="402.84"/>
  </r>
  <r>
    <x v="6"/>
    <s v="cesta"/>
    <d v="2019-09-01T00:00:00"/>
    <n v="384.17"/>
  </r>
  <r>
    <x v="6"/>
    <s v="cesta"/>
    <d v="2019-10-01T00:00:00"/>
    <n v="387.18"/>
  </r>
  <r>
    <x v="6"/>
    <s v="cesta"/>
    <d v="2019-11-01T00:00:00"/>
    <n v="395.82"/>
  </r>
  <r>
    <x v="6"/>
    <s v="cesta"/>
    <d v="2019-12-01T00:00:00"/>
    <n v="433.64"/>
  </r>
  <r>
    <x v="6"/>
    <s v="cesta"/>
    <d v="2020-01-01T00:00:00"/>
    <n v="433.39"/>
  </r>
  <r>
    <x v="6"/>
    <s v="cesta"/>
    <d v="2020-02-01T00:00:00"/>
    <n v="462.99"/>
  </r>
  <r>
    <x v="6"/>
    <s v="cesta"/>
    <d v="2020-03-01T00:00:00"/>
    <n v="475.11"/>
  </r>
  <r>
    <x v="6"/>
    <s v="cesta"/>
    <d v="2020-04-01T00:00:00"/>
    <n v="482.46"/>
  </r>
  <r>
    <x v="6"/>
    <s v="cesta"/>
    <d v="2020-05-01T00:00:00"/>
    <n v="455.18"/>
  </r>
  <r>
    <x v="6"/>
    <s v="cesta"/>
    <d v="2020-06-01T00:00:00"/>
    <n v="464.31"/>
  </r>
  <r>
    <x v="6"/>
    <s v="cesta"/>
    <d v="2020-07-01T00:00:00"/>
    <n v="454.74"/>
  </r>
  <r>
    <x v="6"/>
    <s v="cesta"/>
    <d v="2020-08-01T00:00:00"/>
    <n v="462.13"/>
  </r>
  <r>
    <x v="6"/>
    <s v="cesta"/>
    <d v="2020-09-01T00:00:00"/>
    <n v="485.75"/>
  </r>
  <r>
    <x v="6"/>
    <s v="cesta"/>
    <d v="2020-10-01T00:00:00"/>
    <n v="510.54"/>
  </r>
  <r>
    <x v="6"/>
    <s v="cesta"/>
    <d v="2020-11-01T00:00:00"/>
    <n v="539.33000000000004"/>
  </r>
  <r>
    <x v="6"/>
    <s v="cesta"/>
    <d v="2020-12-01T00:00:00"/>
    <n v="534.96"/>
  </r>
  <r>
    <x v="6"/>
    <s v="cesta"/>
    <d v="2021-01-01T00:00:00"/>
    <n v="532.97"/>
  </r>
  <r>
    <x v="6"/>
    <s v="cesta"/>
    <d v="2021-02-01T00:00:00"/>
    <n v="523.46"/>
  </r>
  <r>
    <x v="6"/>
    <s v="cesta"/>
    <d v="2021-03-01T00:00:00"/>
    <n v="517.04999999999995"/>
  </r>
  <r>
    <x v="6"/>
    <s v="cesta"/>
    <d v="2021-04-01T00:00:00"/>
    <n v="525.26"/>
  </r>
  <r>
    <x v="6"/>
    <s v="cesta"/>
    <d v="2021-05-01T00:00:00"/>
    <n v="532.21"/>
  </r>
  <r>
    <x v="6"/>
    <s v="cesta"/>
    <d v="2021-06-01T00:00:00"/>
    <n v="541.61"/>
  </r>
  <r>
    <x v="6"/>
    <s v="cesta"/>
    <d v="2021-07-01T00:00:00"/>
    <n v="562.82000000000005"/>
  </r>
  <r>
    <x v="6"/>
    <s v="cesta"/>
    <d v="2021-08-01T00:00:00"/>
    <n v="552.24"/>
  </r>
  <r>
    <x v="6"/>
    <s v="cesta"/>
    <d v="2021-09-01T00:00:00"/>
    <n v="552.09"/>
  </r>
  <r>
    <x v="6"/>
    <s v="cesta"/>
    <d v="2021-10-01T00:00:00"/>
    <n v="563.96"/>
  </r>
  <r>
    <x v="6"/>
    <s v="cesta"/>
    <d v="2021-11-01T00:00:00"/>
    <n v="580.36"/>
  </r>
  <r>
    <x v="6"/>
    <s v="cesta"/>
    <d v="2021-12-01T00:00:00"/>
    <n v="579.05999999999995"/>
  </r>
  <r>
    <x v="6"/>
    <s v="cesta"/>
    <d v="2022-01-01T00:00:00"/>
    <n v="607.35"/>
  </r>
  <r>
    <x v="6"/>
    <s v="cesta"/>
    <d v="2022-02-01T00:00:00"/>
    <n v="609.6"/>
  </r>
  <r>
    <x v="6"/>
    <s v="cesta"/>
    <d v="2022-03-01T00:00:00"/>
    <n v="635.02"/>
  </r>
  <r>
    <x v="6"/>
    <s v="cesta"/>
    <d v="2022-04-01T00:00:00"/>
    <n v="647.63"/>
  </r>
  <r>
    <x v="6"/>
    <s v="cesta"/>
    <d v="2022-05-01T00:00:00"/>
    <n v="628.46"/>
  </r>
  <r>
    <x v="6"/>
    <s v="cesta"/>
    <d v="2022-06-01T00:00:00"/>
    <n v="657"/>
  </r>
  <r>
    <x v="6"/>
    <s v="cesta"/>
    <d v="2022-07-01T00:00:00"/>
    <n v="641.46"/>
  </r>
  <r>
    <x v="6"/>
    <s v="cesta"/>
    <d v="2022-08-01T00:00:00"/>
    <n v="626.98"/>
  </r>
  <r>
    <x v="6"/>
    <s v="cesta"/>
    <d v="2022-09-01T00:00:00"/>
    <n v="620.87"/>
  </r>
  <r>
    <x v="6"/>
    <s v="cesta"/>
    <d v="2022-10-01T00:00:00"/>
    <n v="622.57000000000005"/>
  </r>
  <r>
    <x v="6"/>
    <s v="cesta"/>
    <d v="2022-11-01T00:00:00"/>
    <n v="630.66999999999996"/>
  </r>
  <r>
    <x v="6"/>
    <s v="cesta"/>
    <d v="2022-12-01T00:00:00"/>
    <n v="653.99"/>
  </r>
  <r>
    <x v="6"/>
    <s v="cesta"/>
    <d v="2023-01-01T00:00:00"/>
    <n v="679.81"/>
  </r>
  <r>
    <x v="6"/>
    <s v="cesta"/>
    <d v="2023-02-01T00:00:00"/>
    <n v="671.32"/>
  </r>
  <r>
    <x v="6"/>
    <s v="cesta"/>
    <d v="2023-03-01T00:00:00"/>
    <n v="647.91999999999996"/>
  </r>
  <r>
    <x v="6"/>
    <s v="cesta"/>
    <d v="2023-04-01T00:00:00"/>
    <n v="669.79"/>
  </r>
  <r>
    <x v="6"/>
    <s v="cesta"/>
    <d v="2023-05-01T00:00:00"/>
    <n v="672.66"/>
  </r>
  <r>
    <x v="6"/>
    <s v="cesta"/>
    <d v="2023-06-01T00:00:00"/>
    <n v="661.16"/>
  </r>
  <r>
    <x v="6"/>
    <s v="cesta"/>
    <d v="2023-07-01T00:00:00"/>
    <n v="661.5"/>
  </r>
  <r>
    <x v="6"/>
    <s v="cesta"/>
    <d v="2023-08-01T00:00:00"/>
    <n v="642.67999999999995"/>
  </r>
  <r>
    <x v="6"/>
    <s v="cesta"/>
    <d v="2023-09-01T00:00:00"/>
    <n v="640.48"/>
  </r>
  <r>
    <x v="6"/>
    <s v="cesta"/>
    <d v="2023-10-01T00:00:00"/>
    <n v="648.92999999999995"/>
  </r>
  <r>
    <x v="6"/>
    <s v="cesta"/>
    <d v="2023-11-01T00:00:00"/>
    <n v="639.91"/>
  </r>
  <r>
    <x v="6"/>
    <s v="cesta"/>
    <d v="2023-12-01T00:00:00"/>
    <n v="630.38"/>
  </r>
  <r>
    <x v="6"/>
    <s v="cesta"/>
    <d v="2024-01-01T00:00:00"/>
    <n v="618.32000000000005"/>
  </r>
  <r>
    <x v="6"/>
    <s v="cesta"/>
    <d v="2024-02-01T00:00:00"/>
    <n v="627.66999999999996"/>
  </r>
  <r>
    <x v="6"/>
    <s v="cesta"/>
    <d v="2024-03-01T00:00:00"/>
    <n v="663.22"/>
  </r>
  <r>
    <x v="6"/>
    <s v="cesta"/>
    <d v="2024-04-01T00:00:00"/>
    <n v="714.68"/>
  </r>
  <r>
    <x v="6"/>
    <s v="cesta"/>
    <d v="2024-05-01T00:00:00"/>
    <n v="709.9"/>
  </r>
  <r>
    <x v="6"/>
    <s v="cesta"/>
    <d v="2024-06-01T00:00:00"/>
    <n v="697.33"/>
  </r>
  <r>
    <x v="6"/>
    <s v="cesta"/>
    <d v="2024-07-01T00:00:00"/>
    <n v="677.53"/>
  </r>
  <r>
    <x v="6"/>
    <s v="cesta"/>
    <d v="2024-08-01T00:00:00"/>
    <n v="630.48"/>
  </r>
  <r>
    <x v="6"/>
    <s v="cesta"/>
    <d v="2024-09-01T00:00:00"/>
    <n v="615.91999999999996"/>
  </r>
  <r>
    <x v="6"/>
    <s v="cesta"/>
    <d v="2024-10-01T00:00:00"/>
    <n v="641.34"/>
  </r>
  <r>
    <x v="6"/>
    <s v="cesta"/>
    <d v="2024-11-01T00:00:00"/>
    <n v="663.95"/>
  </r>
  <r>
    <x v="6"/>
    <s v="cesta"/>
    <d v="2024-12-01T00:00:00"/>
    <n v="673.77"/>
  </r>
  <r>
    <x v="6"/>
    <s v="cesta"/>
    <d v="2025-01-01T00:00:00"/>
    <n v="700.44"/>
  </r>
  <r>
    <x v="6"/>
    <s v="cesta"/>
    <d v="2025-02-01T00:00:00"/>
    <n v="710.66"/>
  </r>
  <r>
    <x v="6"/>
    <s v="cesta"/>
    <d v="2025-03-01T00:00:00"/>
    <n v="727.46"/>
  </r>
  <r>
    <x v="6"/>
    <s v="cesta"/>
    <d v="2025-04-01T00:00:00"/>
    <n v="746.52"/>
  </r>
  <r>
    <x v="6"/>
    <s v="cesta"/>
    <d v="2025-05-01T00:00:00"/>
    <n v="728.49"/>
  </r>
  <r>
    <x v="6"/>
    <s v="cesta"/>
    <d v="2025-06-01T00:00:00"/>
    <n v="735.11"/>
  </r>
  <r>
    <x v="7"/>
    <s v="cesta"/>
    <d v="2015-01-01T00:00:00"/>
    <n v="323.73"/>
  </r>
  <r>
    <x v="7"/>
    <s v="cesta"/>
    <d v="2015-02-01T00:00:00"/>
    <n v="325.64"/>
  </r>
  <r>
    <x v="7"/>
    <s v="cesta"/>
    <d v="2015-03-01T00:00:00"/>
    <n v="323.48"/>
  </r>
  <r>
    <x v="7"/>
    <s v="cesta"/>
    <d v="2015-04-01T00:00:00"/>
    <n v="327.69"/>
  </r>
  <r>
    <x v="7"/>
    <s v="cesta"/>
    <d v="2015-05-01T00:00:00"/>
    <n v="347.03"/>
  </r>
  <r>
    <x v="7"/>
    <s v="cesta"/>
    <d v="2015-06-01T00:00:00"/>
    <n v="329.65"/>
  </r>
  <r>
    <x v="7"/>
    <s v="cesta"/>
    <d v="2015-07-01T00:00:00"/>
    <n v="327.47000000000003"/>
  </r>
  <r>
    <x v="7"/>
    <s v="cesta"/>
    <d v="2015-08-01T00:00:00"/>
    <n v="320.69"/>
  </r>
  <r>
    <x v="7"/>
    <s v="cesta"/>
    <d v="2015-09-01T00:00:00"/>
    <n v="311.2"/>
  </r>
  <r>
    <x v="7"/>
    <s v="cesta"/>
    <d v="2015-10-01T00:00:00"/>
    <n v="310.73"/>
  </r>
  <r>
    <x v="7"/>
    <s v="cesta"/>
    <d v="2015-11-01T00:00:00"/>
    <n v="321.85000000000002"/>
  </r>
  <r>
    <x v="7"/>
    <s v="cesta"/>
    <d v="2015-12-01T00:00:00"/>
    <n v="335.87"/>
  </r>
  <r>
    <x v="7"/>
    <s v="cesta"/>
    <d v="2016-01-01T00:00:00"/>
    <n v="388.45"/>
  </r>
  <r>
    <x v="7"/>
    <s v="cesta"/>
    <d v="2016-02-01T00:00:00"/>
    <n v="371.8"/>
  </r>
  <r>
    <x v="7"/>
    <s v="cesta"/>
    <d v="2016-03-01T00:00:00"/>
    <n v="378.45"/>
  </r>
  <r>
    <x v="7"/>
    <s v="cesta"/>
    <d v="2016-04-01T00:00:00"/>
    <n v="382.16"/>
  </r>
  <r>
    <x v="7"/>
    <s v="cesta"/>
    <d v="2016-05-01T00:00:00"/>
    <n v="385.24"/>
  </r>
  <r>
    <x v="7"/>
    <s v="cesta"/>
    <d v="2016-06-01T00:00:00"/>
    <n v="421.46"/>
  </r>
  <r>
    <x v="7"/>
    <s v="cesta"/>
    <d v="2016-07-01T00:00:00"/>
    <n v="424.47"/>
  </r>
  <r>
    <x v="7"/>
    <s v="cesta"/>
    <d v="2016-08-01T00:00:00"/>
    <n v="411.12"/>
  </r>
  <r>
    <x v="7"/>
    <s v="cesta"/>
    <d v="2016-09-01T00:00:00"/>
    <n v="393.39"/>
  </r>
  <r>
    <x v="7"/>
    <s v="cesta"/>
    <d v="2016-10-01T00:00:00"/>
    <n v="389.44"/>
  </r>
  <r>
    <x v="7"/>
    <s v="cesta"/>
    <d v="2016-11-01T00:00:00"/>
    <n v="387.56"/>
  </r>
  <r>
    <x v="7"/>
    <s v="cesta"/>
    <d v="2016-12-01T00:00:00"/>
    <n v="386.84"/>
  </r>
  <r>
    <x v="7"/>
    <s v="cesta"/>
    <d v="2017-01-01T00:00:00"/>
    <n v="385.84"/>
  </r>
  <r>
    <x v="7"/>
    <s v="cesta"/>
    <d v="2017-02-01T00:00:00"/>
    <n v="380.18"/>
  </r>
  <r>
    <x v="7"/>
    <s v="cesta"/>
    <d v="2017-03-01T00:00:00"/>
    <n v="388.31"/>
  </r>
  <r>
    <x v="7"/>
    <s v="cesta"/>
    <d v="2017-04-01T00:00:00"/>
    <n v="388.83"/>
  </r>
  <r>
    <x v="7"/>
    <s v="cesta"/>
    <d v="2017-05-01T00:00:00"/>
    <n v="392.72"/>
  </r>
  <r>
    <x v="7"/>
    <s v="cesta"/>
    <d v="2017-06-01T00:00:00"/>
    <n v="390.1"/>
  </r>
  <r>
    <x v="7"/>
    <s v="cesta"/>
    <d v="2017-07-01T00:00:00"/>
    <n v="386.67"/>
  </r>
  <r>
    <x v="7"/>
    <s v="cesta"/>
    <d v="2017-08-01T00:00:00"/>
    <n v="386.81"/>
  </r>
  <r>
    <x v="7"/>
    <s v="cesta"/>
    <d v="2017-09-01T00:00:00"/>
    <n v="372.99"/>
  </r>
  <r>
    <x v="7"/>
    <s v="cesta"/>
    <d v="2017-10-01T00:00:00"/>
    <n v="362.58"/>
  </r>
  <r>
    <x v="7"/>
    <s v="cesta"/>
    <d v="2017-11-01T00:00:00"/>
    <n v="361.96"/>
  </r>
  <r>
    <x v="7"/>
    <s v="cesta"/>
    <d v="2017-12-01T00:00:00"/>
    <n v="360.7"/>
  </r>
  <r>
    <x v="7"/>
    <s v="cesta"/>
    <d v="2018-01-01T00:00:00"/>
    <n v="362.23"/>
  </r>
  <r>
    <x v="7"/>
    <s v="cesta"/>
    <d v="2018-02-01T00:00:00"/>
    <n v="364.01"/>
  </r>
  <r>
    <x v="7"/>
    <s v="cesta"/>
    <d v="2018-03-01T00:00:00"/>
    <n v="360.43"/>
  </r>
  <r>
    <x v="7"/>
    <s v="cesta"/>
    <d v="2018-04-01T00:00:00"/>
    <n v="365.81"/>
  </r>
  <r>
    <x v="7"/>
    <s v="cesta"/>
    <d v="2018-05-01T00:00:00"/>
    <n v="366.65"/>
  </r>
  <r>
    <x v="7"/>
    <s v="cesta"/>
    <d v="2018-06-01T00:00:00"/>
    <n v="365.81"/>
  </r>
  <r>
    <x v="7"/>
    <s v="cesta"/>
    <d v="2018-07-01T00:00:00"/>
    <n v="366.38"/>
  </r>
  <r>
    <x v="7"/>
    <s v="cesta"/>
    <d v="2018-08-01T00:00:00"/>
    <n v="362.47"/>
  </r>
  <r>
    <x v="7"/>
    <s v="cesta"/>
    <d v="2018-09-01T00:00:00"/>
    <n v="354.11"/>
  </r>
  <r>
    <x v="7"/>
    <s v="cesta"/>
    <d v="2018-10-01T00:00:00"/>
    <n v="357.72"/>
  </r>
  <r>
    <x v="7"/>
    <s v="cesta"/>
    <d v="2018-11-01T00:00:00"/>
    <n v="368.06"/>
  </r>
  <r>
    <x v="7"/>
    <s v="cesta"/>
    <d v="2018-12-01T00:00:00"/>
    <n v="388.86"/>
  </r>
  <r>
    <x v="7"/>
    <s v="cesta"/>
    <d v="2019-01-01T00:00:00"/>
    <n v="398.23"/>
  </r>
  <r>
    <x v="7"/>
    <s v="cesta"/>
    <d v="2019-02-01T00:00:00"/>
    <n v="416.4"/>
  </r>
  <r>
    <x v="7"/>
    <s v="cesta"/>
    <d v="2019-03-01T00:00:00"/>
    <n v="433.43"/>
  </r>
  <r>
    <x v="7"/>
    <s v="cesta"/>
    <d v="2019-04-01T00:00:00"/>
    <n v="445.28"/>
  </r>
  <r>
    <x v="7"/>
    <s v="cesta"/>
    <d v="2019-05-01T00:00:00"/>
    <n v="425.35"/>
  </r>
  <r>
    <x v="7"/>
    <s v="cesta"/>
    <d v="2019-06-01T00:00:00"/>
    <n v="421.65"/>
  </r>
  <r>
    <x v="7"/>
    <s v="cesta"/>
    <d v="2019-07-01T00:00:00"/>
    <n v="420.55"/>
  </r>
  <r>
    <x v="7"/>
    <s v="cesta"/>
    <d v="2019-08-01T00:00:00"/>
    <n v="399.4"/>
  </r>
  <r>
    <x v="7"/>
    <s v="cesta"/>
    <d v="2019-09-01T00:00:00"/>
    <n v="391.31"/>
  </r>
  <r>
    <x v="7"/>
    <s v="cesta"/>
    <d v="2019-10-01T00:00:00"/>
    <n v="395.7"/>
  </r>
  <r>
    <x v="7"/>
    <s v="cesta"/>
    <d v="2019-11-01T00:00:00"/>
    <n v="400.16"/>
  </r>
  <r>
    <x v="7"/>
    <s v="cesta"/>
    <d v="2019-12-01T00:00:00"/>
    <n v="454.75"/>
  </r>
  <r>
    <x v="7"/>
    <s v="cesta"/>
    <d v="2020-01-01T00:00:00"/>
    <n v="455.08"/>
  </r>
  <r>
    <x v="7"/>
    <s v="cesta"/>
    <d v="2020-02-01T00:00:00"/>
    <n v="448.62"/>
  </r>
  <r>
    <x v="7"/>
    <s v="cesta"/>
    <d v="2020-03-01T00:00:00"/>
    <n v="456.18"/>
  </r>
  <r>
    <x v="7"/>
    <s v="cesta"/>
    <d v="2020-04-01T00:00:00"/>
    <n v="493.21"/>
  </r>
  <r>
    <x v="7"/>
    <s v="cesta"/>
    <d v="2020-05-01T00:00:00"/>
    <n v="505.99"/>
  </r>
  <r>
    <x v="7"/>
    <s v="cesta"/>
    <d v="2020-06-01T00:00:00"/>
    <n v="480.78"/>
  </r>
  <r>
    <x v="7"/>
    <s v="cesta"/>
    <d v="2020-07-01T00:00:00"/>
    <n v="472.86"/>
  </r>
  <r>
    <x v="7"/>
    <s v="cesta"/>
    <d v="2020-08-01T00:00:00"/>
    <n v="483.15"/>
  </r>
  <r>
    <x v="7"/>
    <s v="cesta"/>
    <d v="2020-09-01T00:00:00"/>
    <n v="510.52"/>
  </r>
  <r>
    <x v="7"/>
    <s v="cesta"/>
    <d v="2020-10-01T00:00:00"/>
    <n v="537.61"/>
  </r>
  <r>
    <x v="7"/>
    <s v="cesta"/>
    <d v="2020-11-01T00:00:00"/>
    <n v="557.46"/>
  </r>
  <r>
    <x v="7"/>
    <s v="cesta"/>
    <d v="2020-12-01T00:00:00"/>
    <n v="563.79999999999995"/>
  </r>
  <r>
    <x v="7"/>
    <s v="cesta"/>
    <d v="2021-01-01T00:00:00"/>
    <n v="574.76"/>
  </r>
  <r>
    <x v="7"/>
    <s v="cesta"/>
    <d v="2021-02-01T00:00:00"/>
    <n v="560.66999999999996"/>
  </r>
  <r>
    <x v="7"/>
    <s v="cesta"/>
    <d v="2021-03-01T00:00:00"/>
    <n v="552.04999999999995"/>
  </r>
  <r>
    <x v="7"/>
    <s v="cesta"/>
    <d v="2021-04-01T00:00:00"/>
    <n v="556.27"/>
  </r>
  <r>
    <x v="7"/>
    <s v="cesta"/>
    <d v="2021-05-01T00:00:00"/>
    <n v="564.04"/>
  </r>
  <r>
    <x v="7"/>
    <s v="cesta"/>
    <d v="2021-06-01T00:00:00"/>
    <n v="551.49"/>
  </r>
  <r>
    <x v="7"/>
    <s v="cesta"/>
    <d v="2021-07-01T00:00:00"/>
    <n v="562.13"/>
  </r>
  <r>
    <x v="7"/>
    <s v="cesta"/>
    <d v="2021-08-01T00:00:00"/>
    <n v="565.4"/>
  </r>
  <r>
    <x v="7"/>
    <s v="cesta"/>
    <d v="2021-09-01T00:00:00"/>
    <n v="574.08000000000004"/>
  </r>
  <r>
    <x v="7"/>
    <s v="cesta"/>
    <d v="2021-10-01T00:00:00"/>
    <n v="591.78"/>
  </r>
  <r>
    <x v="7"/>
    <s v="cesta"/>
    <d v="2021-11-01T00:00:00"/>
    <n v="599.64"/>
  </r>
  <r>
    <x v="7"/>
    <s v="cesta"/>
    <d v="2021-12-01T00:00:00"/>
    <n v="597.24"/>
  </r>
  <r>
    <x v="7"/>
    <s v="cesta"/>
    <d v="2022-01-01T00:00:00"/>
    <n v="624.91"/>
  </r>
  <r>
    <x v="7"/>
    <s v="cesta"/>
    <d v="2022-02-01T00:00:00"/>
    <n v="641.09"/>
  </r>
  <r>
    <x v="7"/>
    <s v="cesta"/>
    <d v="2022-03-01T00:00:00"/>
    <n v="663.48"/>
  </r>
  <r>
    <x v="7"/>
    <s v="cesta"/>
    <d v="2022-04-01T00:00:00"/>
    <n v="682.87"/>
  </r>
  <r>
    <x v="7"/>
    <s v="cesta"/>
    <d v="2022-05-01T00:00:00"/>
    <n v="674.63"/>
  </r>
  <r>
    <x v="7"/>
    <s v="cesta"/>
    <d v="2022-06-01T00:00:00"/>
    <n v="674.08"/>
  </r>
  <r>
    <x v="7"/>
    <s v="cesta"/>
    <d v="2022-07-01T00:00:00"/>
    <n v="672.91"/>
  </r>
  <r>
    <x v="7"/>
    <s v="cesta"/>
    <d v="2022-08-01T00:00:00"/>
    <n v="660.83"/>
  </r>
  <r>
    <x v="7"/>
    <s v="cesta"/>
    <d v="2022-09-01T00:00:00"/>
    <n v="658.7"/>
  </r>
  <r>
    <x v="7"/>
    <s v="cesta"/>
    <d v="2022-10-01T00:00:00"/>
    <n v="675.79"/>
  </r>
  <r>
    <x v="7"/>
    <s v="cesta"/>
    <d v="2022-11-01T00:00:00"/>
    <n v="689.49"/>
  </r>
  <r>
    <x v="7"/>
    <s v="cesta"/>
    <d v="2022-12-01T00:00:00"/>
    <n v="704.63"/>
  </r>
  <r>
    <x v="7"/>
    <s v="cesta"/>
    <d v="2023-01-01T00:00:00"/>
    <n v="710.62"/>
  </r>
  <r>
    <x v="7"/>
    <s v="cesta"/>
    <d v="2023-02-01T00:00:00"/>
    <n v="695.18"/>
  </r>
  <r>
    <x v="7"/>
    <s v="cesta"/>
    <d v="2023-03-01T00:00:00"/>
    <n v="680.92"/>
  </r>
  <r>
    <x v="7"/>
    <s v="cesta"/>
    <d v="2023-04-01T00:00:00"/>
    <n v="704.94"/>
  </r>
  <r>
    <x v="7"/>
    <s v="cesta"/>
    <d v="2023-05-01T00:00:00"/>
    <n v="704.89"/>
  </r>
  <r>
    <x v="7"/>
    <s v="cesta"/>
    <d v="2023-06-01T00:00:00"/>
    <n v="669.39"/>
  </r>
  <r>
    <x v="7"/>
    <s v="cesta"/>
    <d v="2023-07-01T00:00:00"/>
    <n v="657.71"/>
  </r>
  <r>
    <x v="7"/>
    <s v="cesta"/>
    <d v="2023-08-01T00:00:00"/>
    <n v="641.53"/>
  </r>
  <r>
    <x v="7"/>
    <s v="cesta"/>
    <d v="2023-09-01T00:00:00"/>
    <n v="630.95000000000005"/>
  </r>
  <r>
    <x v="7"/>
    <s v="cesta"/>
    <d v="2023-10-01T00:00:00"/>
    <n v="636.07000000000005"/>
  </r>
  <r>
    <x v="7"/>
    <s v="cesta"/>
    <d v="2023-11-01T00:00:00"/>
    <n v="648.59"/>
  </r>
  <r>
    <x v="7"/>
    <s v="cesta"/>
    <d v="2023-12-01T00:00:00"/>
    <n v="669.36"/>
  </r>
  <r>
    <x v="7"/>
    <s v="cesta"/>
    <d v="2024-01-01T00:00:00"/>
    <n v="710.7"/>
  </r>
  <r>
    <x v="7"/>
    <s v="cesta"/>
    <d v="2024-02-01T00:00:00"/>
    <n v="707.81"/>
  </r>
  <r>
    <x v="7"/>
    <s v="cesta"/>
    <d v="2024-03-01T00:00:00"/>
    <n v="703.57"/>
  </r>
  <r>
    <x v="7"/>
    <s v="cesta"/>
    <d v="2024-04-01T00:00:00"/>
    <n v="701.01"/>
  </r>
  <r>
    <x v="7"/>
    <s v="cesta"/>
    <d v="2024-05-01T00:00:00"/>
    <n v="704.51"/>
  </r>
  <r>
    <x v="7"/>
    <s v="cesta"/>
    <d v="2024-06-01T00:00:00"/>
    <n v="711.43"/>
  </r>
  <r>
    <x v="7"/>
    <s v="cesta"/>
    <d v="2024-07-01T00:00:00"/>
    <n v="695.98"/>
  </r>
  <r>
    <x v="7"/>
    <s v="cesta"/>
    <d v="2024-08-01T00:00:00"/>
    <n v="667.87"/>
  </r>
  <r>
    <x v="7"/>
    <s v="cesta"/>
    <d v="2024-09-01T00:00:00"/>
    <n v="672.93"/>
  </r>
  <r>
    <x v="7"/>
    <s v="cesta"/>
    <d v="2024-10-01T00:00:00"/>
    <n v="695.37"/>
  </r>
  <r>
    <x v="7"/>
    <s v="cesta"/>
    <d v="2024-11-01T00:00:00"/>
    <n v="727.65"/>
  </r>
  <r>
    <x v="7"/>
    <s v="cesta"/>
    <d v="2024-12-01T00:00:00"/>
    <n v="732.5"/>
  </r>
  <r>
    <x v="7"/>
    <s v="cesta"/>
    <d v="2025-01-01T00:00:00"/>
    <n v="756.92"/>
  </r>
  <r>
    <x v="7"/>
    <s v="cesta"/>
    <d v="2025-02-01T00:00:00"/>
    <n v="739.34"/>
  </r>
  <r>
    <x v="7"/>
    <s v="cesta"/>
    <d v="2025-03-01T00:00:00"/>
    <n v="754.06"/>
  </r>
  <r>
    <x v="7"/>
    <s v="cesta"/>
    <d v="2025-04-01T00:00:00"/>
    <n v="767.43"/>
  </r>
  <r>
    <x v="7"/>
    <s v="cesta"/>
    <d v="2025-05-01T00:00:00"/>
    <n v="758.67"/>
  </r>
  <r>
    <x v="7"/>
    <s v="cesta"/>
    <d v="2025-06-01T00:00:00"/>
    <n v="744.27"/>
  </r>
  <r>
    <x v="8"/>
    <s v="cesta"/>
    <d v="2015-01-01T00:00:00"/>
    <n v="278.73"/>
  </r>
  <r>
    <x v="8"/>
    <s v="cesta"/>
    <d v="2015-02-01T00:00:00"/>
    <n v="286.22000000000003"/>
  </r>
  <r>
    <x v="8"/>
    <s v="cesta"/>
    <d v="2015-03-01T00:00:00"/>
    <n v="288.43"/>
  </r>
  <r>
    <x v="8"/>
    <s v="cesta"/>
    <d v="2015-04-01T00:00:00"/>
    <n v="299.89999999999998"/>
  </r>
  <r>
    <x v="8"/>
    <s v="cesta"/>
    <d v="2015-05-01T00:00:00"/>
    <n v="303.8"/>
  </r>
  <r>
    <x v="8"/>
    <s v="cesta"/>
    <d v="2015-06-01T00:00:00"/>
    <n v="309.48"/>
  </r>
  <r>
    <x v="8"/>
    <s v="cesta"/>
    <d v="2015-07-01T00:00:00"/>
    <n v="306.52999999999997"/>
  </r>
  <r>
    <x v="8"/>
    <s v="cesta"/>
    <d v="2015-08-01T00:00:00"/>
    <n v="307.39"/>
  </r>
  <r>
    <x v="8"/>
    <s v="cesta"/>
    <d v="2015-09-01T00:00:00"/>
    <n v="299.64999999999998"/>
  </r>
  <r>
    <x v="8"/>
    <s v="cesta"/>
    <d v="2015-10-01T00:00:00"/>
    <n v="298.17"/>
  </r>
  <r>
    <x v="8"/>
    <s v="cesta"/>
    <d v="2015-11-01T00:00:00"/>
    <n v="310.14999999999998"/>
  </r>
  <r>
    <x v="8"/>
    <s v="cesta"/>
    <d v="2015-12-01T00:00:00"/>
    <n v="316.82"/>
  </r>
  <r>
    <x v="8"/>
    <s v="cesta"/>
    <d v="2016-01-01T00:00:00"/>
    <n v="349.75"/>
  </r>
  <r>
    <x v="8"/>
    <s v="cesta"/>
    <d v="2016-02-01T00:00:00"/>
    <n v="360.66"/>
  </r>
  <r>
    <x v="8"/>
    <s v="cesta"/>
    <d v="2016-03-01T00:00:00"/>
    <n v="351.88"/>
  </r>
  <r>
    <x v="8"/>
    <s v="cesta"/>
    <d v="2016-04-01T00:00:00"/>
    <n v="365.83"/>
  </r>
  <r>
    <x v="8"/>
    <s v="cesta"/>
    <d v="2016-05-01T00:00:00"/>
    <n v="361.39"/>
  </r>
  <r>
    <x v="8"/>
    <s v="cesta"/>
    <d v="2016-06-01T00:00:00"/>
    <n v="366.06"/>
  </r>
  <r>
    <x v="8"/>
    <s v="cesta"/>
    <d v="2016-07-01T00:00:00"/>
    <n v="387.24"/>
  </r>
  <r>
    <x v="8"/>
    <s v="cesta"/>
    <d v="2016-08-01T00:00:00"/>
    <n v="385.83"/>
  </r>
  <r>
    <x v="8"/>
    <s v="cesta"/>
    <d v="2016-09-01T00:00:00"/>
    <n v="386.92"/>
  </r>
  <r>
    <x v="8"/>
    <s v="cesta"/>
    <d v="2016-10-01T00:00:00"/>
    <n v="385.5"/>
  </r>
  <r>
    <x v="8"/>
    <s v="cesta"/>
    <d v="2016-11-01T00:00:00"/>
    <n v="370.65"/>
  </r>
  <r>
    <x v="8"/>
    <s v="cesta"/>
    <d v="2016-12-01T00:00:00"/>
    <n v="366.16"/>
  </r>
  <r>
    <x v="8"/>
    <s v="cesta"/>
    <d v="2017-01-01T00:00:00"/>
    <n v="368.95"/>
  </r>
  <r>
    <x v="8"/>
    <s v="cesta"/>
    <d v="2017-02-01T00:00:00"/>
    <n v="364.75"/>
  </r>
  <r>
    <x v="8"/>
    <s v="cesta"/>
    <d v="2017-03-01T00:00:00"/>
    <n v="374.18"/>
  </r>
  <r>
    <x v="8"/>
    <s v="cesta"/>
    <d v="2017-04-01T00:00:00"/>
    <n v="382.52"/>
  </r>
  <r>
    <x v="8"/>
    <s v="cesta"/>
    <d v="2017-05-01T00:00:00"/>
    <n v="383.81"/>
  </r>
  <r>
    <x v="8"/>
    <s v="cesta"/>
    <d v="2017-06-01T00:00:00"/>
    <n v="369.78"/>
  </r>
  <r>
    <x v="8"/>
    <s v="cesta"/>
    <d v="2017-07-01T00:00:00"/>
    <n v="361.41"/>
  </r>
  <r>
    <x v="8"/>
    <s v="cesta"/>
    <d v="2017-08-01T00:00:00"/>
    <n v="351.08"/>
  </r>
  <r>
    <x v="8"/>
    <s v="cesta"/>
    <d v="2017-09-01T00:00:00"/>
    <n v="334.86"/>
  </r>
  <r>
    <x v="8"/>
    <s v="cesta"/>
    <d v="2017-10-01T00:00:00"/>
    <n v="330.38"/>
  </r>
  <r>
    <x v="8"/>
    <s v="cesta"/>
    <d v="2017-11-01T00:00:00"/>
    <n v="324.89999999999998"/>
  </r>
  <r>
    <x v="8"/>
    <s v="cesta"/>
    <d v="2017-12-01T00:00:00"/>
    <n v="329.52"/>
  </r>
  <r>
    <x v="8"/>
    <s v="cesta"/>
    <d v="2018-01-01T00:00:00"/>
    <n v="368.76"/>
  </r>
  <r>
    <x v="8"/>
    <s v="cesta"/>
    <d v="2018-02-01T00:00:00"/>
    <n v="354.15"/>
  </r>
  <r>
    <x v="8"/>
    <s v="cesta"/>
    <d v="2018-03-01T00:00:00"/>
    <n v="349.83"/>
  </r>
  <r>
    <x v="8"/>
    <s v="cesta"/>
    <d v="2018-04-01T00:00:00"/>
    <n v="335.77"/>
  </r>
  <r>
    <x v="8"/>
    <s v="cesta"/>
    <d v="2018-05-01T00:00:00"/>
    <n v="346.42"/>
  </r>
  <r>
    <x v="8"/>
    <s v="cesta"/>
    <d v="2018-06-01T00:00:00"/>
    <n v="349.8"/>
  </r>
  <r>
    <x v="8"/>
    <s v="cesta"/>
    <d v="2018-07-01T00:00:00"/>
    <n v="347.15"/>
  </r>
  <r>
    <x v="8"/>
    <s v="cesta"/>
    <d v="2018-08-01T00:00:00"/>
    <n v="335.49"/>
  </r>
  <r>
    <x v="8"/>
    <s v="cesta"/>
    <d v="2018-09-01T00:00:00"/>
    <n v="328.99"/>
  </r>
  <r>
    <x v="8"/>
    <s v="cesta"/>
    <d v="2018-10-01T00:00:00"/>
    <n v="334.1"/>
  </r>
  <r>
    <x v="8"/>
    <s v="cesta"/>
    <d v="2018-11-01T00:00:00"/>
    <n v="339.39"/>
  </r>
  <r>
    <x v="8"/>
    <s v="cesta"/>
    <d v="2018-12-01T00:00:00"/>
    <n v="345.21"/>
  </r>
  <r>
    <x v="8"/>
    <s v="cesta"/>
    <d v="2019-01-01T00:00:00"/>
    <n v="360.92"/>
  </r>
  <r>
    <x v="8"/>
    <s v="cesta"/>
    <d v="2019-02-01T00:00:00"/>
    <n v="378.26"/>
  </r>
  <r>
    <x v="8"/>
    <s v="cesta"/>
    <d v="2019-03-01T00:00:00"/>
    <n v="400.38"/>
  </r>
  <r>
    <x v="8"/>
    <s v="cesta"/>
    <d v="2019-04-01T00:00:00"/>
    <n v="412.27"/>
  </r>
  <r>
    <x v="8"/>
    <s v="cesta"/>
    <d v="2019-05-01T00:00:00"/>
    <n v="403.57"/>
  </r>
  <r>
    <x v="8"/>
    <s v="cesta"/>
    <d v="2019-06-01T00:00:00"/>
    <n v="398.72"/>
  </r>
  <r>
    <x v="8"/>
    <s v="cesta"/>
    <d v="2019-07-01T00:00:00"/>
    <n v="385.58"/>
  </r>
  <r>
    <x v="8"/>
    <s v="cesta"/>
    <d v="2019-08-01T00:00:00"/>
    <n v="367.86"/>
  </r>
  <r>
    <x v="8"/>
    <s v="cesta"/>
    <d v="2019-09-01T00:00:00"/>
    <n v="359.62"/>
  </r>
  <r>
    <x v="8"/>
    <s v="cesta"/>
    <d v="2019-10-01T00:00:00"/>
    <n v="351.19"/>
  </r>
  <r>
    <x v="8"/>
    <s v="cesta"/>
    <d v="2019-11-01T00:00:00"/>
    <n v="347.14"/>
  </r>
  <r>
    <x v="8"/>
    <s v="cesta"/>
    <d v="2019-12-01T00:00:00"/>
    <n v="373.56"/>
  </r>
  <r>
    <x v="8"/>
    <s v="cesta"/>
    <d v="2020-01-01T00:00:00"/>
    <n v="388.02"/>
  </r>
  <r>
    <x v="8"/>
    <s v="cesta"/>
    <d v="2020-02-01T00:00:00"/>
    <n v="403.98"/>
  </r>
  <r>
    <x v="8"/>
    <s v="cesta"/>
    <d v="2020-03-01T00:00:00"/>
    <n v="414.05"/>
  </r>
  <r>
    <x v="8"/>
    <s v="cesta"/>
    <d v="2020-04-01T00:00:00"/>
    <n v="437.93"/>
  </r>
  <r>
    <x v="8"/>
    <s v="cesta"/>
    <d v="2020-05-01T00:00:00"/>
    <n v="440.25"/>
  </r>
  <r>
    <x v="8"/>
    <s v="cesta"/>
    <d v="2020-06-01T00:00:00"/>
    <n v="430.44"/>
  </r>
  <r>
    <x v="8"/>
    <s v="cesta"/>
    <d v="2020-07-01T00:00:00"/>
    <n v="417.75"/>
  </r>
  <r>
    <x v="8"/>
    <s v="cesta"/>
    <d v="2020-08-01T00:00:00"/>
    <n v="414.5"/>
  </r>
  <r>
    <x v="8"/>
    <s v="cesta"/>
    <d v="2020-09-01T00:00:00"/>
    <n v="432.04"/>
  </r>
  <r>
    <x v="8"/>
    <s v="cesta"/>
    <d v="2020-10-01T00:00:00"/>
    <n v="449.97"/>
  </r>
  <r>
    <x v="8"/>
    <s v="cesta"/>
    <d v="2020-11-01T00:00:00"/>
    <n v="454.85"/>
  </r>
  <r>
    <x v="8"/>
    <s v="cesta"/>
    <d v="2020-12-01T00:00:00"/>
    <n v="475.19"/>
  </r>
  <r>
    <x v="8"/>
    <s v="cesta"/>
    <d v="2021-01-01T00:00:00"/>
    <n v="471.87"/>
  </r>
  <r>
    <x v="8"/>
    <s v="cesta"/>
    <d v="2021-02-01T00:00:00"/>
    <n v="484.54"/>
  </r>
  <r>
    <x v="8"/>
    <s v="cesta"/>
    <d v="2021-03-01T00:00:00"/>
    <n v="478.52"/>
  </r>
  <r>
    <x v="8"/>
    <s v="cesta"/>
    <d v="2021-04-01T00:00:00"/>
    <n v="490.04"/>
  </r>
  <r>
    <x v="8"/>
    <s v="cesta"/>
    <d v="2021-05-01T00:00:00"/>
    <n v="491.63"/>
  </r>
  <r>
    <x v="8"/>
    <s v="cesta"/>
    <d v="2021-06-01T00:00:00"/>
    <n v="495.76"/>
  </r>
  <r>
    <x v="8"/>
    <s v="cesta"/>
    <d v="2021-07-01T00:00:00"/>
    <n v="492.3"/>
  </r>
  <r>
    <x v="8"/>
    <s v="cesta"/>
    <d v="2021-08-01T00:00:00"/>
    <n v="490.93"/>
  </r>
  <r>
    <x v="8"/>
    <s v="cesta"/>
    <d v="2021-09-01T00:00:00"/>
    <n v="476.63"/>
  </r>
  <r>
    <x v="8"/>
    <s v="cesta"/>
    <d v="2021-10-01T00:00:00"/>
    <n v="491.12"/>
  </r>
  <r>
    <x v="8"/>
    <s v="cesta"/>
    <d v="2021-11-01T00:00:00"/>
    <n v="508.91"/>
  </r>
  <r>
    <x v="8"/>
    <s v="cesta"/>
    <d v="2021-12-01T00:00:00"/>
    <n v="510.82"/>
  </r>
  <r>
    <x v="8"/>
    <s v="cesta"/>
    <d v="2022-01-01T00:00:00"/>
    <n v="538.65"/>
  </r>
  <r>
    <x v="8"/>
    <s v="cesta"/>
    <d v="2022-02-01T00:00:00"/>
    <n v="549.33000000000004"/>
  </r>
  <r>
    <x v="8"/>
    <s v="cesta"/>
    <d v="2022-03-01T00:00:00"/>
    <n v="567.84"/>
  </r>
  <r>
    <x v="8"/>
    <s v="cesta"/>
    <d v="2022-04-01T00:00:00"/>
    <n v="573.70000000000005"/>
  </r>
  <r>
    <x v="8"/>
    <s v="cesta"/>
    <d v="2022-05-01T00:00:00"/>
    <n v="567.66999999999996"/>
  </r>
  <r>
    <x v="8"/>
    <s v="cesta"/>
    <d v="2022-06-01T00:00:00"/>
    <n v="586.73"/>
  </r>
  <r>
    <x v="8"/>
    <s v="cesta"/>
    <d v="2022-07-01T00:00:00"/>
    <n v="572.63"/>
  </r>
  <r>
    <x v="8"/>
    <s v="cesta"/>
    <d v="2022-08-01T00:00:00"/>
    <n v="568.21"/>
  </r>
  <r>
    <x v="8"/>
    <s v="cesta"/>
    <d v="2022-09-01T00:00:00"/>
    <n v="562.32000000000005"/>
  </r>
  <r>
    <x v="8"/>
    <s v="cesta"/>
    <d v="2022-10-01T00:00:00"/>
    <n v="559.57000000000005"/>
  </r>
  <r>
    <x v="8"/>
    <s v="cesta"/>
    <d v="2022-11-01T00:00:00"/>
    <n v="552.42999999999995"/>
  </r>
  <r>
    <x v="8"/>
    <s v="cesta"/>
    <d v="2022-12-01T00:00:00"/>
    <n v="561.84"/>
  </r>
  <r>
    <x v="8"/>
    <s v="cesta"/>
    <d v="2023-01-01T00:00:00"/>
    <n v="600.05999999999995"/>
  </r>
  <r>
    <x v="8"/>
    <s v="cesta"/>
    <d v="2023-02-01T00:00:00"/>
    <n v="600.1"/>
  </r>
  <r>
    <x v="8"/>
    <s v="cesta"/>
    <d v="2023-03-01T00:00:00"/>
    <n v="579.57000000000005"/>
  </r>
  <r>
    <x v="8"/>
    <s v="cesta"/>
    <d v="2023-04-01T00:00:00"/>
    <n v="585.41999999999996"/>
  </r>
  <r>
    <x v="8"/>
    <s v="cesta"/>
    <d v="2023-05-01T00:00:00"/>
    <n v="580.95000000000005"/>
  </r>
  <r>
    <x v="8"/>
    <s v="cesta"/>
    <d v="2023-06-01T00:00:00"/>
    <n v="604.89"/>
  </r>
  <r>
    <x v="8"/>
    <s v="cesta"/>
    <d v="2023-07-01T00:00:00"/>
    <n v="581.30999999999995"/>
  </r>
  <r>
    <x v="8"/>
    <s v="cesta"/>
    <d v="2023-08-01T00:00:00"/>
    <n v="565.07000000000005"/>
  </r>
  <r>
    <x v="8"/>
    <s v="cesta"/>
    <d v="2023-09-01T00:00:00"/>
    <n v="562.6"/>
  </r>
  <r>
    <x v="8"/>
    <s v="cesta"/>
    <d v="2023-10-01T00:00:00"/>
    <n v="554.88"/>
  </r>
  <r>
    <x v="8"/>
    <s v="cesta"/>
    <d v="2023-11-01T00:00:00"/>
    <n v="548.33000000000004"/>
  </r>
  <r>
    <x v="8"/>
    <s v="cesta"/>
    <d v="2023-12-01T00:00:00"/>
    <n v="542.29999999999995"/>
  </r>
  <r>
    <x v="8"/>
    <s v="cesta"/>
    <d v="2024-01-01T00:00:00"/>
    <n v="559.77"/>
  </r>
  <r>
    <x v="8"/>
    <s v="cesta"/>
    <d v="2024-02-01T00:00:00"/>
    <n v="564.5"/>
  </r>
  <r>
    <x v="8"/>
    <s v="cesta"/>
    <d v="2024-03-01T00:00:00"/>
    <n v="583.23"/>
  </r>
  <r>
    <x v="8"/>
    <s v="cesta"/>
    <d v="2024-04-01T00:00:00"/>
    <n v="614.75"/>
  </r>
  <r>
    <x v="8"/>
    <s v="cesta"/>
    <d v="2024-05-01T00:00:00"/>
    <n v="620.66999999999996"/>
  </r>
  <r>
    <x v="8"/>
    <s v="cesta"/>
    <d v="2024-06-01T00:00:00"/>
    <n v="597.32000000000005"/>
  </r>
  <r>
    <x v="8"/>
    <s v="cesta"/>
    <d v="2024-07-01T00:00:00"/>
    <n v="572.38"/>
  </r>
  <r>
    <x v="8"/>
    <s v="cesta"/>
    <d v="2024-08-01T00:00:00"/>
    <n v="548.9"/>
  </r>
  <r>
    <x v="8"/>
    <s v="cesta"/>
    <d v="2024-09-01T00:00:00"/>
    <n v="552.35"/>
  </r>
  <r>
    <x v="8"/>
    <s v="cesta"/>
    <d v="2024-10-01T00:00:00"/>
    <n v="566.46"/>
  </r>
  <r>
    <x v="8"/>
    <s v="cesta"/>
    <d v="2024-11-01T00:00:00"/>
    <n v="590.82000000000005"/>
  </r>
  <r>
    <x v="8"/>
    <s v="cesta"/>
    <d v="2024-12-01T00:00:00"/>
    <n v="606.91"/>
  </r>
  <r>
    <x v="8"/>
    <s v="cesta"/>
    <d v="2025-01-01T00:00:00"/>
    <n v="618.64"/>
  </r>
  <r>
    <x v="8"/>
    <s v="cesta"/>
    <d v="2025-02-01T00:00:00"/>
    <n v="634.41"/>
  </r>
  <r>
    <x v="8"/>
    <s v="cesta"/>
    <d v="2025-03-01T00:00:00"/>
    <n v="626.89"/>
  </r>
  <r>
    <x v="8"/>
    <s v="cesta"/>
    <d v="2025-04-01T00:00:00"/>
    <n v="641.57000000000005"/>
  </r>
  <r>
    <x v="8"/>
    <s v="cesta"/>
    <d v="2025-05-01T00:00:00"/>
    <n v="636.73"/>
  </r>
  <r>
    <x v="8"/>
    <s v="cesta"/>
    <d v="2025-06-01T00:00:00"/>
    <n v="636.16"/>
  </r>
  <r>
    <x v="9"/>
    <s v="cesta"/>
    <d v="2015-01-01T00:00:00"/>
    <n v="277.56"/>
  </r>
  <r>
    <x v="9"/>
    <s v="cesta"/>
    <d v="2015-02-01T00:00:00"/>
    <n v="289.64999999999998"/>
  </r>
  <r>
    <x v="9"/>
    <s v="cesta"/>
    <d v="2015-03-01T00:00:00"/>
    <n v="289.20999999999998"/>
  </r>
  <r>
    <x v="9"/>
    <s v="cesta"/>
    <d v="2015-04-01T00:00:00"/>
    <n v="300.73"/>
  </r>
  <r>
    <x v="9"/>
    <s v="cesta"/>
    <d v="2015-05-01T00:00:00"/>
    <n v="312.41000000000003"/>
  </r>
  <r>
    <x v="9"/>
    <s v="cesta"/>
    <d v="2015-06-01T00:00:00"/>
    <n v="302.76"/>
  </r>
  <r>
    <x v="9"/>
    <s v="cesta"/>
    <d v="2015-07-01T00:00:00"/>
    <n v="293.58"/>
  </r>
  <r>
    <x v="9"/>
    <s v="cesta"/>
    <d v="2015-08-01T00:00:00"/>
    <n v="286.36"/>
  </r>
  <r>
    <x v="9"/>
    <s v="cesta"/>
    <d v="2015-09-01T00:00:00"/>
    <n v="282.72000000000003"/>
  </r>
  <r>
    <x v="9"/>
    <s v="cesta"/>
    <d v="2015-10-01T00:00:00"/>
    <n v="285.47000000000003"/>
  </r>
  <r>
    <x v="9"/>
    <s v="cesta"/>
    <d v="2015-11-01T00:00:00"/>
    <n v="302.14"/>
  </r>
  <r>
    <x v="9"/>
    <s v="cesta"/>
    <d v="2015-12-01T00:00:00"/>
    <n v="309.92"/>
  </r>
  <r>
    <x v="9"/>
    <s v="cesta"/>
    <d v="2016-01-01T00:00:00"/>
    <n v="329.2"/>
  </r>
  <r>
    <x v="9"/>
    <s v="cesta"/>
    <d v="2016-02-01T00:00:00"/>
    <n v="331.79"/>
  </r>
  <r>
    <x v="9"/>
    <s v="cesta"/>
    <d v="2016-03-01T00:00:00"/>
    <n v="325.98"/>
  </r>
  <r>
    <x v="9"/>
    <s v="cesta"/>
    <d v="2016-04-01T00:00:00"/>
    <n v="334.49"/>
  </r>
  <r>
    <x v="9"/>
    <s v="cesta"/>
    <d v="2016-05-01T00:00:00"/>
    <n v="337.49"/>
  </r>
  <r>
    <x v="9"/>
    <s v="cesta"/>
    <d v="2016-06-01T00:00:00"/>
    <n v="352.12"/>
  </r>
  <r>
    <x v="9"/>
    <s v="cesta"/>
    <d v="2016-07-01T00:00:00"/>
    <n v="362.63"/>
  </r>
  <r>
    <x v="9"/>
    <s v="cesta"/>
    <d v="2016-08-01T00:00:00"/>
    <n v="365.46"/>
  </r>
  <r>
    <x v="9"/>
    <s v="cesta"/>
    <d v="2016-09-01T00:00:00"/>
    <n v="367.54"/>
  </r>
  <r>
    <x v="9"/>
    <s v="cesta"/>
    <d v="2016-10-01T00:00:00"/>
    <n v="366.9"/>
  </r>
  <r>
    <x v="9"/>
    <s v="cesta"/>
    <d v="2016-11-01T00:00:00"/>
    <n v="354.59"/>
  </r>
  <r>
    <x v="9"/>
    <s v="cesta"/>
    <d v="2016-12-01T00:00:00"/>
    <n v="351.96"/>
  </r>
  <r>
    <x v="9"/>
    <s v="cesta"/>
    <d v="2017-01-01T00:00:00"/>
    <n v="349.61"/>
  </r>
  <r>
    <x v="9"/>
    <s v="cesta"/>
    <d v="2017-02-01T00:00:00"/>
    <n v="351.68"/>
  </r>
  <r>
    <x v="9"/>
    <s v="cesta"/>
    <d v="2017-03-01T00:00:00"/>
    <n v="364.12"/>
  </r>
  <r>
    <x v="9"/>
    <s v="cesta"/>
    <d v="2017-04-01T00:00:00"/>
    <n v="368.86"/>
  </r>
  <r>
    <x v="9"/>
    <s v="cesta"/>
    <d v="2017-05-01T00:00:00"/>
    <n v="364.97"/>
  </r>
  <r>
    <x v="9"/>
    <s v="cesta"/>
    <d v="2017-06-01T00:00:00"/>
    <n v="354.32"/>
  </r>
  <r>
    <x v="9"/>
    <s v="cesta"/>
    <d v="2017-07-01T00:00:00"/>
    <n v="358.15"/>
  </r>
  <r>
    <x v="9"/>
    <s v="cesta"/>
    <d v="2017-08-01T00:00:00"/>
    <n v="336.12"/>
  </r>
  <r>
    <x v="9"/>
    <s v="cesta"/>
    <d v="2017-09-01T00:00:00"/>
    <n v="323.89999999999998"/>
  </r>
  <r>
    <x v="9"/>
    <s v="cesta"/>
    <d v="2017-10-01T00:00:00"/>
    <n v="325.08999999999997"/>
  </r>
  <r>
    <x v="9"/>
    <s v="cesta"/>
    <d v="2017-11-01T00:00:00"/>
    <n v="328.21"/>
  </r>
  <r>
    <x v="9"/>
    <s v="cesta"/>
    <d v="2017-12-01T00:00:00"/>
    <n v="331.18"/>
  </r>
  <r>
    <x v="9"/>
    <s v="cesta"/>
    <d v="2018-01-01T00:00:00"/>
    <n v="360.48"/>
  </r>
  <r>
    <x v="9"/>
    <s v="cesta"/>
    <d v="2018-02-01T00:00:00"/>
    <n v="348.96"/>
  </r>
  <r>
    <x v="9"/>
    <s v="cesta"/>
    <d v="2018-03-01T00:00:00"/>
    <n v="343.26"/>
  </r>
  <r>
    <x v="9"/>
    <s v="cesta"/>
    <d v="2018-04-01T00:00:00"/>
    <n v="337.67"/>
  </r>
  <r>
    <x v="9"/>
    <s v="cesta"/>
    <d v="2018-05-01T00:00:00"/>
    <n v="341.18"/>
  </r>
  <r>
    <x v="9"/>
    <s v="cesta"/>
    <d v="2018-06-01T00:00:00"/>
    <n v="351.11"/>
  </r>
  <r>
    <x v="9"/>
    <s v="cesta"/>
    <d v="2018-07-01T00:00:00"/>
    <n v="341.09"/>
  </r>
  <r>
    <x v="9"/>
    <s v="cesta"/>
    <d v="2018-08-01T00:00:00"/>
    <n v="335.61"/>
  </r>
  <r>
    <x v="9"/>
    <s v="cesta"/>
    <d v="2018-09-01T00:00:00"/>
    <n v="330.3"/>
  </r>
  <r>
    <x v="9"/>
    <s v="cesta"/>
    <d v="2018-10-01T00:00:00"/>
    <n v="329.9"/>
  </r>
  <r>
    <x v="9"/>
    <s v="cesta"/>
    <d v="2018-11-01T00:00:00"/>
    <n v="332.21"/>
  </r>
  <r>
    <x v="9"/>
    <s v="cesta"/>
    <d v="2018-12-01T00:00:00"/>
    <n v="341.4"/>
  </r>
  <r>
    <x v="9"/>
    <s v="cesta"/>
    <d v="2019-01-01T00:00:00"/>
    <n v="351.83"/>
  </r>
  <r>
    <x v="9"/>
    <s v="cesta"/>
    <d v="2019-02-01T00:00:00"/>
    <n v="375.58"/>
  </r>
  <r>
    <x v="9"/>
    <s v="cesta"/>
    <d v="2019-03-01T00:00:00"/>
    <n v="399.01"/>
  </r>
  <r>
    <x v="9"/>
    <s v="cesta"/>
    <d v="2019-04-01T00:00:00"/>
    <n v="410.1"/>
  </r>
  <r>
    <x v="9"/>
    <s v="cesta"/>
    <d v="2019-05-01T00:00:00"/>
    <n v="406.07"/>
  </r>
  <r>
    <x v="9"/>
    <s v="cesta"/>
    <d v="2019-06-01T00:00:00"/>
    <n v="397.24"/>
  </r>
  <r>
    <x v="9"/>
    <s v="cesta"/>
    <d v="2019-07-01T00:00:00"/>
    <n v="381.27"/>
  </r>
  <r>
    <x v="9"/>
    <s v="cesta"/>
    <d v="2019-08-01T00:00:00"/>
    <n v="354.44"/>
  </r>
  <r>
    <x v="9"/>
    <s v="cesta"/>
    <d v="2019-09-01T00:00:00"/>
    <n v="352.57"/>
  </r>
  <r>
    <x v="9"/>
    <s v="cesta"/>
    <d v="2019-10-01T00:00:00"/>
    <n v="341.9"/>
  </r>
  <r>
    <x v="9"/>
    <s v="cesta"/>
    <d v="2019-11-01T00:00:00"/>
    <n v="347.89"/>
  </r>
  <r>
    <x v="9"/>
    <s v="cesta"/>
    <d v="2019-12-01T00:00:00"/>
    <n v="383.76"/>
  </r>
  <r>
    <x v="9"/>
    <s v="cesta"/>
    <d v="2020-01-01T00:00:00"/>
    <n v="389.26"/>
  </r>
  <r>
    <x v="9"/>
    <s v="cesta"/>
    <d v="2020-02-01T00:00:00"/>
    <n v="405.88"/>
  </r>
  <r>
    <x v="9"/>
    <s v="cesta"/>
    <d v="2020-03-01T00:00:00"/>
    <n v="426"/>
  </r>
  <r>
    <x v="9"/>
    <s v="cesta"/>
    <d v="2020-04-01T00:00:00"/>
    <n v="428.28"/>
  </r>
  <r>
    <x v="9"/>
    <s v="cesta"/>
    <d v="2020-05-01T00:00:00"/>
    <n v="429.57"/>
  </r>
  <r>
    <x v="9"/>
    <s v="cesta"/>
    <d v="2020-06-01T00:00:00"/>
    <n v="442.46"/>
  </r>
  <r>
    <x v="9"/>
    <s v="cesta"/>
    <d v="2020-07-01T00:00:00"/>
    <n v="430.66"/>
  </r>
  <r>
    <x v="9"/>
    <s v="cesta"/>
    <d v="2020-08-01T00:00:00"/>
    <n v="419.47"/>
  </r>
  <r>
    <x v="9"/>
    <s v="cesta"/>
    <d v="2020-09-01T00:00:00"/>
    <n v="422.31"/>
  </r>
  <r>
    <x v="9"/>
    <s v="cesta"/>
    <d v="2020-10-01T00:00:00"/>
    <n v="436.76"/>
  </r>
  <r>
    <x v="9"/>
    <s v="cesta"/>
    <d v="2020-11-01T00:00:00"/>
    <n v="455.43"/>
  </r>
  <r>
    <x v="9"/>
    <s v="cesta"/>
    <d v="2020-12-01T00:00:00"/>
    <n v="458.79"/>
  </r>
  <r>
    <x v="9"/>
    <s v="cesta"/>
    <d v="2021-01-01T00:00:00"/>
    <n v="454.49"/>
  </r>
  <r>
    <x v="9"/>
    <s v="cesta"/>
    <d v="2021-02-01T00:00:00"/>
    <n v="464.43"/>
  </r>
  <r>
    <x v="9"/>
    <s v="cesta"/>
    <d v="2021-03-01T00:00:00"/>
    <n v="477.56"/>
  </r>
  <r>
    <x v="9"/>
    <s v="cesta"/>
    <d v="2021-04-01T00:00:00"/>
    <n v="478.23"/>
  </r>
  <r>
    <x v="9"/>
    <s v="cesta"/>
    <d v="2021-05-01T00:00:00"/>
    <n v="501.7"/>
  </r>
  <r>
    <x v="9"/>
    <s v="cesta"/>
    <d v="2021-06-01T00:00:00"/>
    <n v="500.2"/>
  </r>
  <r>
    <x v="9"/>
    <s v="cesta"/>
    <d v="2021-07-01T00:00:00"/>
    <n v="506.51"/>
  </r>
  <r>
    <x v="9"/>
    <s v="cesta"/>
    <d v="2021-08-01T00:00:00"/>
    <n v="508.04"/>
  </r>
  <r>
    <x v="9"/>
    <s v="cesta"/>
    <d v="2021-09-01T00:00:00"/>
    <n v="493.29"/>
  </r>
  <r>
    <x v="9"/>
    <s v="cesta"/>
    <d v="2021-10-01T00:00:00"/>
    <n v="504.66"/>
  </r>
  <r>
    <x v="9"/>
    <s v="cesta"/>
    <d v="2021-11-01T00:00:00"/>
    <n v="521.08000000000004"/>
  </r>
  <r>
    <x v="9"/>
    <s v="cesta"/>
    <d v="2021-12-01T00:00:00"/>
    <n v="529.54"/>
  </r>
  <r>
    <x v="9"/>
    <s v="cesta"/>
    <d v="2022-01-01T00:00:00"/>
    <n v="551.05999999999995"/>
  </r>
  <r>
    <x v="9"/>
    <s v="cesta"/>
    <d v="2022-02-01T00:00:00"/>
    <n v="557.20000000000005"/>
  </r>
  <r>
    <x v="9"/>
    <s v="cesta"/>
    <d v="2022-03-01T00:00:00"/>
    <n v="575.33000000000004"/>
  </r>
  <r>
    <x v="9"/>
    <s v="cesta"/>
    <d v="2022-04-01T00:00:00"/>
    <n v="595.37"/>
  </r>
  <r>
    <x v="9"/>
    <s v="cesta"/>
    <d v="2022-05-01T00:00:00"/>
    <n v="586.41999999999996"/>
  </r>
  <r>
    <x v="9"/>
    <s v="cesta"/>
    <d v="2022-06-01T00:00:00"/>
    <n v="611.79"/>
  </r>
  <r>
    <x v="9"/>
    <s v="cesta"/>
    <d v="2022-07-01T00:00:00"/>
    <n v="587.58000000000004"/>
  </r>
  <r>
    <x v="9"/>
    <s v="cesta"/>
    <d v="2022-08-01T00:00:00"/>
    <n v="580.74"/>
  </r>
  <r>
    <x v="9"/>
    <s v="cesta"/>
    <d v="2022-09-01T00:00:00"/>
    <n v="581.53"/>
  </r>
  <r>
    <x v="9"/>
    <s v="cesta"/>
    <d v="2022-10-01T00:00:00"/>
    <n v="573.4"/>
  </r>
  <r>
    <x v="9"/>
    <s v="cesta"/>
    <d v="2022-11-01T00:00:00"/>
    <n v="566.95000000000005"/>
  </r>
  <r>
    <x v="9"/>
    <s v="cesta"/>
    <d v="2022-12-01T00:00:00"/>
    <n v="584.36"/>
  </r>
  <r>
    <x v="9"/>
    <s v="cesta"/>
    <d v="2023-01-01T00:00:00"/>
    <n v="622.16"/>
  </r>
  <r>
    <x v="9"/>
    <s v="cesta"/>
    <d v="2023-02-01T00:00:00"/>
    <n v="626.15"/>
  </r>
  <r>
    <x v="9"/>
    <s v="cesta"/>
    <d v="2023-03-01T00:00:00"/>
    <n v="615.03"/>
  </r>
  <r>
    <x v="9"/>
    <s v="cesta"/>
    <d v="2023-04-01T00:00:00"/>
    <n v="605.94000000000005"/>
  </r>
  <r>
    <x v="9"/>
    <s v="cesta"/>
    <d v="2023-05-01T00:00:00"/>
    <n v="602.16"/>
  </r>
  <r>
    <x v="9"/>
    <s v="cesta"/>
    <d v="2023-06-01T00:00:00"/>
    <n v="632.27"/>
  </r>
  <r>
    <x v="9"/>
    <s v="cesta"/>
    <d v="2023-07-01T00:00:00"/>
    <n v="613.64"/>
  </r>
  <r>
    <x v="9"/>
    <s v="cesta"/>
    <d v="2023-08-01T00:00:00"/>
    <n v="581.17999999999995"/>
  </r>
  <r>
    <x v="9"/>
    <s v="cesta"/>
    <d v="2023-09-01T00:00:00"/>
    <n v="598.99"/>
  </r>
  <r>
    <x v="9"/>
    <s v="cesta"/>
    <d v="2023-10-01T00:00:00"/>
    <n v="582.12"/>
  </r>
  <r>
    <x v="9"/>
    <s v="cesta"/>
    <d v="2023-11-01T00:00:00"/>
    <n v="567.29999999999995"/>
  </r>
  <r>
    <x v="9"/>
    <s v="cesta"/>
    <d v="2023-12-01T00:00:00"/>
    <n v="556.05999999999995"/>
  </r>
  <r>
    <x v="9"/>
    <s v="cesta"/>
    <d v="2024-01-01T00:00:00"/>
    <n v="575.71"/>
  </r>
  <r>
    <x v="9"/>
    <s v="cesta"/>
    <d v="2024-02-01T00:00:00"/>
    <n v="579.30999999999995"/>
  </r>
  <r>
    <x v="9"/>
    <s v="cesta"/>
    <d v="2024-03-01T00:00:00"/>
    <n v="605.33000000000004"/>
  </r>
  <r>
    <x v="9"/>
    <s v="cesta"/>
    <d v="2024-04-01T00:00:00"/>
    <n v="632.23"/>
  </r>
  <r>
    <x v="9"/>
    <s v="cesta"/>
    <d v="2024-05-01T00:00:00"/>
    <n v="640.1"/>
  </r>
  <r>
    <x v="9"/>
    <s v="cesta"/>
    <d v="2024-06-01T00:00:00"/>
    <n v="599.29"/>
  </r>
  <r>
    <x v="9"/>
    <s v="cesta"/>
    <d v="2024-07-01T00:00:00"/>
    <n v="575.12"/>
  </r>
  <r>
    <x v="9"/>
    <s v="cesta"/>
    <d v="2024-08-01T00:00:00"/>
    <n v="555.67999999999995"/>
  </r>
  <r>
    <x v="9"/>
    <s v="cesta"/>
    <d v="2024-09-01T00:00:00"/>
    <n v="554"/>
  </r>
  <r>
    <x v="9"/>
    <s v="cesta"/>
    <d v="2024-10-01T00:00:00"/>
    <n v="576.23"/>
  </r>
  <r>
    <x v="9"/>
    <s v="cesta"/>
    <d v="2024-11-01T00:00:00"/>
    <n v="593.54"/>
  </r>
  <r>
    <x v="9"/>
    <s v="cesta"/>
    <d v="2024-12-01T00:00:00"/>
    <n v="617.32000000000005"/>
  </r>
  <r>
    <x v="9"/>
    <s v="cesta"/>
    <d v="2025-01-01T00:00:00"/>
    <n v="634.11"/>
  </r>
  <r>
    <x v="9"/>
    <s v="cesta"/>
    <d v="2025-02-01T00:00:00"/>
    <n v="648.58000000000004"/>
  </r>
  <r>
    <x v="9"/>
    <s v="cesta"/>
    <d v="2025-03-01T00:00:00"/>
    <n v="636.47"/>
  </r>
  <r>
    <x v="9"/>
    <s v="cesta"/>
    <d v="2025-04-01T00:00:00"/>
    <n v="657"/>
  </r>
  <r>
    <x v="9"/>
    <s v="cesta"/>
    <d v="2025-05-01T00:00:00"/>
    <n v="645"/>
  </r>
  <r>
    <x v="9"/>
    <s v="cesta"/>
    <d v="2025-06-01T00:00:00"/>
    <n v="636.95000000000005"/>
  </r>
  <r>
    <x v="10"/>
    <s v="cesta"/>
    <d v="2015-01-01T00:00:00"/>
    <n v="361.11"/>
  </r>
  <r>
    <x v="10"/>
    <s v="cesta"/>
    <d v="2015-02-01T00:00:00"/>
    <n v="353.81"/>
  </r>
  <r>
    <x v="10"/>
    <s v="cesta"/>
    <d v="2015-03-01T00:00:00"/>
    <n v="360.01"/>
  </r>
  <r>
    <x v="10"/>
    <s v="cesta"/>
    <d v="2015-04-01T00:00:00"/>
    <n v="368.97"/>
  </r>
  <r>
    <x v="10"/>
    <s v="cesta"/>
    <d v="2015-05-01T00:00:00"/>
    <n v="384.57"/>
  </r>
  <r>
    <x v="10"/>
    <s v="cesta"/>
    <d v="2015-06-01T00:00:00"/>
    <n v="384.13"/>
  </r>
  <r>
    <x v="10"/>
    <s v="cesta"/>
    <d v="2015-07-01T00:00:00"/>
    <n v="383.22"/>
  </r>
  <r>
    <x v="10"/>
    <s v="cesta"/>
    <d v="2015-08-01T00:00:00"/>
    <n v="387.83"/>
  </r>
  <r>
    <x v="10"/>
    <s v="cesta"/>
    <d v="2015-09-01T00:00:00"/>
    <n v="385.7"/>
  </r>
  <r>
    <x v="10"/>
    <s v="cesta"/>
    <d v="2015-10-01T00:00:00"/>
    <n v="380.8"/>
  </r>
  <r>
    <x v="10"/>
    <s v="cesta"/>
    <d v="2015-11-01T00:00:00"/>
    <n v="404.62"/>
  </r>
  <r>
    <x v="10"/>
    <s v="cesta"/>
    <d v="2015-12-01T00:00:00"/>
    <n v="418.82"/>
  </r>
  <r>
    <x v="10"/>
    <s v="cesta"/>
    <d v="2016-01-01T00:00:00"/>
    <n v="432.64"/>
  </r>
  <r>
    <x v="10"/>
    <s v="cesta"/>
    <d v="2016-02-01T00:00:00"/>
    <n v="416.82"/>
  </r>
  <r>
    <x v="10"/>
    <s v="cesta"/>
    <d v="2016-03-01T00:00:00"/>
    <n v="420.9"/>
  </r>
  <r>
    <x v="10"/>
    <s v="cesta"/>
    <d v="2016-04-01T00:00:00"/>
    <n v="426.93"/>
  </r>
  <r>
    <x v="10"/>
    <s v="cesta"/>
    <d v="2016-05-01T00:00:00"/>
    <n v="443.46"/>
  </r>
  <r>
    <x v="10"/>
    <s v="cesta"/>
    <d v="2016-06-01T00:00:00"/>
    <n v="465.03"/>
  </r>
  <r>
    <x v="10"/>
    <s v="cesta"/>
    <d v="2016-07-01T00:00:00"/>
    <n v="468.78"/>
  </r>
  <r>
    <x v="10"/>
    <s v="cesta"/>
    <d v="2016-08-01T00:00:00"/>
    <n v="474.34"/>
  </r>
  <r>
    <x v="10"/>
    <s v="cesta"/>
    <d v="2016-09-01T00:00:00"/>
    <n v="477.69"/>
  </r>
  <r>
    <x v="10"/>
    <s v="cesta"/>
    <d v="2016-10-01T00:00:00"/>
    <n v="478.07"/>
  </r>
  <r>
    <x v="10"/>
    <s v="cesta"/>
    <d v="2016-11-01T00:00:00"/>
    <n v="469.05"/>
  </r>
  <r>
    <x v="10"/>
    <s v="cesta"/>
    <d v="2016-12-01T00:00:00"/>
    <n v="459.02"/>
  </r>
  <r>
    <x v="10"/>
    <s v="cesta"/>
    <d v="2017-01-01T00:00:00"/>
    <n v="453.67"/>
  </r>
  <r>
    <x v="10"/>
    <s v="cesta"/>
    <d v="2017-02-01T00:00:00"/>
    <n v="435.51"/>
  </r>
  <r>
    <x v="10"/>
    <s v="cesta"/>
    <d v="2017-03-01T00:00:00"/>
    <n v="437.22"/>
  </r>
  <r>
    <x v="10"/>
    <s v="cesta"/>
    <d v="2017-04-01T00:00:00"/>
    <n v="464.19"/>
  </r>
  <r>
    <x v="10"/>
    <s v="cesta"/>
    <d v="2017-05-01T00:00:00"/>
    <n v="460.65"/>
  </r>
  <r>
    <x v="10"/>
    <s v="cesta"/>
    <d v="2017-06-01T00:00:00"/>
    <n v="443.66"/>
  </r>
  <r>
    <x v="10"/>
    <s v="cesta"/>
    <d v="2017-07-01T00:00:00"/>
    <n v="453.56"/>
  </r>
  <r>
    <x v="10"/>
    <s v="cesta"/>
    <d v="2017-08-01T00:00:00"/>
    <n v="445.76"/>
  </r>
  <r>
    <x v="10"/>
    <s v="cesta"/>
    <d v="2017-09-01T00:00:00"/>
    <n v="436.68"/>
  </r>
  <r>
    <x v="10"/>
    <s v="cesta"/>
    <d v="2017-10-01T00:00:00"/>
    <n v="446.87"/>
  </r>
  <r>
    <x v="10"/>
    <s v="cesta"/>
    <d v="2017-11-01T00:00:00"/>
    <n v="444.16"/>
  </r>
  <r>
    <x v="10"/>
    <s v="cesta"/>
    <d v="2017-12-01T00:00:00"/>
    <n v="426.74"/>
  </r>
  <r>
    <x v="10"/>
    <s v="cesta"/>
    <d v="2018-01-01T00:00:00"/>
    <n v="446.69"/>
  </r>
  <r>
    <x v="10"/>
    <s v="cesta"/>
    <d v="2018-02-01T00:00:00"/>
    <n v="434.5"/>
  </r>
  <r>
    <x v="10"/>
    <s v="cesta"/>
    <d v="2018-03-01T00:00:00"/>
    <n v="434.7"/>
  </r>
  <r>
    <x v="10"/>
    <s v="cesta"/>
    <d v="2018-04-01T00:00:00"/>
    <n v="430.29"/>
  </r>
  <r>
    <x v="10"/>
    <s v="cesta"/>
    <d v="2018-05-01T00:00:00"/>
    <n v="437.73"/>
  </r>
  <r>
    <x v="10"/>
    <s v="cesta"/>
    <d v="2018-06-01T00:00:00"/>
    <n v="452.81"/>
  </r>
  <r>
    <x v="10"/>
    <s v="cesta"/>
    <d v="2018-07-01T00:00:00"/>
    <n v="435.02"/>
  </r>
  <r>
    <x v="10"/>
    <s v="cesta"/>
    <d v="2018-08-01T00:00:00"/>
    <n v="419.81"/>
  </r>
  <r>
    <x v="10"/>
    <s v="cesta"/>
    <d v="2018-09-01T00:00:00"/>
    <n v="423.01"/>
  </r>
  <r>
    <x v="10"/>
    <s v="cesta"/>
    <d v="2018-10-01T00:00:00"/>
    <n v="449.89"/>
  </r>
  <r>
    <x v="10"/>
    <s v="cesta"/>
    <d v="2018-11-01T00:00:00"/>
    <n v="463.09"/>
  </r>
  <r>
    <x v="10"/>
    <s v="cesta"/>
    <d v="2018-12-01T00:00:00"/>
    <n v="464.72"/>
  </r>
  <r>
    <x v="10"/>
    <s v="cesta"/>
    <d v="2019-01-01T00:00:00"/>
    <n v="441.65"/>
  </r>
  <r>
    <x v="10"/>
    <s v="cesta"/>
    <d v="2019-02-01T00:00:00"/>
    <n v="449.95"/>
  </r>
  <r>
    <x v="10"/>
    <s v="cesta"/>
    <d v="2019-03-01T00:00:00"/>
    <n v="479.53"/>
  </r>
  <r>
    <x v="10"/>
    <s v="cesta"/>
    <d v="2019-04-01T00:00:00"/>
    <n v="499.38"/>
  </r>
  <r>
    <x v="10"/>
    <s v="cesta"/>
    <d v="2019-05-01T00:00:00"/>
    <n v="496.13"/>
  </r>
  <r>
    <x v="10"/>
    <s v="cesta"/>
    <d v="2019-06-01T00:00:00"/>
    <n v="498.41"/>
  </r>
  <r>
    <x v="10"/>
    <s v="cesta"/>
    <d v="2019-07-01T00:00:00"/>
    <n v="493.22"/>
  </r>
  <r>
    <x v="10"/>
    <s v="cesta"/>
    <d v="2019-08-01T00:00:00"/>
    <n v="469.17"/>
  </r>
  <r>
    <x v="10"/>
    <s v="cesta"/>
    <d v="2019-09-01T00:00:00"/>
    <n v="458.29"/>
  </r>
  <r>
    <x v="10"/>
    <s v="cesta"/>
    <d v="2019-10-01T00:00:00"/>
    <n v="463.24"/>
  </r>
  <r>
    <x v="10"/>
    <s v="cesta"/>
    <d v="2019-11-01T00:00:00"/>
    <n v="453.82"/>
  </r>
  <r>
    <x v="10"/>
    <s v="cesta"/>
    <d v="2019-12-01T00:00:00"/>
    <n v="506.3"/>
  </r>
  <r>
    <x v="10"/>
    <s v="cesta"/>
    <d v="2020-01-01T00:00:00"/>
    <n v="502.98"/>
  </r>
  <r>
    <x v="10"/>
    <s v="cesta"/>
    <d v="2020-02-01T00:00:00"/>
    <n v="492.83"/>
  </r>
  <r>
    <x v="10"/>
    <s v="cesta"/>
    <d v="2020-03-01T00:00:00"/>
    <n v="497.88"/>
  </r>
  <r>
    <x v="10"/>
    <s v="cesta"/>
    <d v="2020-04-01T00:00:00"/>
    <n v="527.01"/>
  </r>
  <r>
    <x v="10"/>
    <s v="cesta"/>
    <d v="2020-05-01T00:00:00"/>
    <n v="518.63"/>
  </r>
  <r>
    <x v="10"/>
    <s v="cesta"/>
    <d v="2020-06-01T00:00:00"/>
    <n v="512.4"/>
  </r>
  <r>
    <x v="10"/>
    <s v="cesta"/>
    <d v="2020-07-01T00:00:00"/>
    <n v="511.22"/>
  </r>
  <r>
    <x v="10"/>
    <s v="cesta"/>
    <d v="2020-08-01T00:00:00"/>
    <n v="528.61"/>
  </r>
  <r>
    <x v="10"/>
    <s v="cesta"/>
    <d v="2020-09-01T00:00:00"/>
    <n v="552.86"/>
  </r>
  <r>
    <x v="10"/>
    <s v="cesta"/>
    <d v="2020-10-01T00:00:00"/>
    <n v="581.39"/>
  </r>
  <r>
    <x v="10"/>
    <s v="cesta"/>
    <d v="2020-11-01T00:00:00"/>
    <n v="617.03"/>
  </r>
  <r>
    <x v="10"/>
    <s v="cesta"/>
    <d v="2020-12-01T00:00:00"/>
    <n v="615.66"/>
  </r>
  <r>
    <x v="10"/>
    <s v="cesta"/>
    <d v="2021-01-01T00:00:00"/>
    <n v="626.25"/>
  </r>
  <r>
    <x v="10"/>
    <s v="cesta"/>
    <d v="2021-02-01T00:00:00"/>
    <n v="632.66999999999996"/>
  </r>
  <r>
    <x v="10"/>
    <s v="cesta"/>
    <d v="2021-03-01T00:00:00"/>
    <n v="623.37"/>
  </r>
  <r>
    <x v="10"/>
    <s v="cesta"/>
    <d v="2021-04-01T00:00:00"/>
    <n v="626.11"/>
  </r>
  <r>
    <x v="10"/>
    <s v="cesta"/>
    <d v="2021-05-01T00:00:00"/>
    <n v="636.96"/>
  </r>
  <r>
    <x v="10"/>
    <s v="cesta"/>
    <d v="2021-06-01T00:00:00"/>
    <n v="642.30999999999995"/>
  </r>
  <r>
    <x v="10"/>
    <s v="cesta"/>
    <d v="2021-07-01T00:00:00"/>
    <n v="656.92"/>
  </r>
  <r>
    <x v="10"/>
    <s v="cesta"/>
    <d v="2021-08-01T00:00:00"/>
    <n v="664.67"/>
  </r>
  <r>
    <x v="10"/>
    <s v="cesta"/>
    <d v="2021-09-01T00:00:00"/>
    <n v="672.39"/>
  </r>
  <r>
    <x v="10"/>
    <s v="cesta"/>
    <d v="2021-10-01T00:00:00"/>
    <n v="691.08"/>
  </r>
  <r>
    <x v="10"/>
    <s v="cesta"/>
    <d v="2021-11-01T00:00:00"/>
    <n v="685.32"/>
  </r>
  <r>
    <x v="10"/>
    <s v="cesta"/>
    <d v="2021-12-01T00:00:00"/>
    <n v="682.9"/>
  </r>
  <r>
    <x v="10"/>
    <s v="cesta"/>
    <d v="2022-01-01T00:00:00"/>
    <n v="673"/>
  </r>
  <r>
    <x v="10"/>
    <s v="cesta"/>
    <d v="2022-02-01T00:00:00"/>
    <n v="695.91"/>
  </r>
  <r>
    <x v="10"/>
    <s v="cesta"/>
    <d v="2022-03-01T00:00:00"/>
    <n v="734.28"/>
  </r>
  <r>
    <x v="10"/>
    <s v="cesta"/>
    <d v="2022-04-01T00:00:00"/>
    <n v="780.86"/>
  </r>
  <r>
    <x v="10"/>
    <s v="cesta"/>
    <d v="2022-05-01T00:00:00"/>
    <n v="768.76"/>
  </r>
  <r>
    <x v="10"/>
    <s v="cesta"/>
    <d v="2022-06-01T00:00:00"/>
    <n v="754.19"/>
  </r>
  <r>
    <x v="10"/>
    <s v="cesta"/>
    <d v="2022-07-01T00:00:00"/>
    <n v="752.84"/>
  </r>
  <r>
    <x v="10"/>
    <s v="cesta"/>
    <d v="2022-08-01T00:00:00"/>
    <n v="748.06"/>
  </r>
  <r>
    <x v="10"/>
    <s v="cesta"/>
    <d v="2022-09-01T00:00:00"/>
    <n v="743.94"/>
  </r>
  <r>
    <x v="10"/>
    <s v="cesta"/>
    <d v="2022-10-01T00:00:00"/>
    <n v="768.82"/>
  </r>
  <r>
    <x v="10"/>
    <s v="cesta"/>
    <d v="2022-11-01T00:00:00"/>
    <n v="781.52"/>
  </r>
  <r>
    <x v="10"/>
    <s v="cesta"/>
    <d v="2022-12-01T00:00:00"/>
    <n v="765.63"/>
  </r>
  <r>
    <x v="10"/>
    <s v="cesta"/>
    <d v="2023-01-01T00:00:00"/>
    <n v="757.33"/>
  </r>
  <r>
    <x v="10"/>
    <s v="cesta"/>
    <d v="2023-02-01T00:00:00"/>
    <n v="741.3"/>
  </r>
  <r>
    <x v="10"/>
    <s v="cesta"/>
    <d v="2023-03-01T00:00:00"/>
    <n v="746.12"/>
  </r>
  <r>
    <x v="10"/>
    <s v="cesta"/>
    <d v="2023-04-01T00:00:00"/>
    <n v="783.55"/>
  </r>
  <r>
    <x v="10"/>
    <s v="cesta"/>
    <d v="2023-05-01T00:00:00"/>
    <n v="781.56"/>
  </r>
  <r>
    <x v="10"/>
    <s v="cesta"/>
    <d v="2023-06-01T00:00:00"/>
    <n v="773.56"/>
  </r>
  <r>
    <x v="10"/>
    <s v="cesta"/>
    <d v="2023-07-01T00:00:00"/>
    <n v="777.16"/>
  </r>
  <r>
    <x v="10"/>
    <s v="cesta"/>
    <d v="2023-08-01T00:00:00"/>
    <n v="760.59"/>
  </r>
  <r>
    <x v="10"/>
    <s v="cesta"/>
    <d v="2023-09-01T00:00:00"/>
    <n v="741.71"/>
  </r>
  <r>
    <x v="10"/>
    <s v="cesta"/>
    <d v="2023-10-01T00:00:00"/>
    <n v="739.21"/>
  </r>
  <r>
    <x v="10"/>
    <s v="cesta"/>
    <d v="2023-11-01T00:00:00"/>
    <n v="739.18"/>
  </r>
  <r>
    <x v="10"/>
    <s v="cesta"/>
    <d v="2023-12-01T00:00:00"/>
    <n v="766.53"/>
  </r>
  <r>
    <x v="10"/>
    <s v="cesta"/>
    <d v="2024-01-01T00:00:00"/>
    <n v="791.16"/>
  </r>
  <r>
    <x v="10"/>
    <s v="cesta"/>
    <d v="2024-02-01T00:00:00"/>
    <n v="796.81"/>
  </r>
  <r>
    <x v="10"/>
    <s v="cesta"/>
    <d v="2024-03-01T00:00:00"/>
    <n v="777.43"/>
  </r>
  <r>
    <x v="10"/>
    <s v="cesta"/>
    <d v="2024-04-01T00:00:00"/>
    <n v="775.63"/>
  </r>
  <r>
    <x v="10"/>
    <s v="cesta"/>
    <d v="2024-05-01T00:00:00"/>
    <n v="801.45"/>
  </r>
  <r>
    <x v="10"/>
    <s v="cesta"/>
    <d v="2024-06-01T00:00:00"/>
    <n v="804.86"/>
  </r>
  <r>
    <x v="10"/>
    <s v="cesta"/>
    <d v="2024-07-01T00:00:00"/>
    <n v="769.96"/>
  </r>
  <r>
    <x v="10"/>
    <s v="cesta"/>
    <d v="2024-08-01T00:00:00"/>
    <n v="740.82"/>
  </r>
  <r>
    <x v="10"/>
    <s v="cesta"/>
    <d v="2024-09-01T00:00:00"/>
    <n v="756.17"/>
  </r>
  <r>
    <x v="10"/>
    <s v="cesta"/>
    <d v="2024-10-01T00:00:00"/>
    <n v="774.32"/>
  </r>
  <r>
    <x v="10"/>
    <s v="cesta"/>
    <d v="2024-11-01T00:00:00"/>
    <n v="780.71"/>
  </r>
  <r>
    <x v="10"/>
    <s v="cesta"/>
    <d v="2024-12-01T00:00:00"/>
    <n v="783.72"/>
  </r>
  <r>
    <x v="10"/>
    <s v="cesta"/>
    <d v="2025-01-01T00:00:00"/>
    <n v="770.63"/>
  </r>
  <r>
    <x v="10"/>
    <s v="cesta"/>
    <d v="2025-02-01T00:00:00"/>
    <n v="769.74"/>
  </r>
  <r>
    <x v="10"/>
    <s v="cesta"/>
    <d v="2025-03-01T00:00:00"/>
    <n v="791.64"/>
  </r>
  <r>
    <x v="10"/>
    <s v="cesta"/>
    <d v="2025-04-01T00:00:00"/>
    <n v="834.22"/>
  </r>
  <r>
    <x v="10"/>
    <s v="cesta"/>
    <d v="2025-05-01T00:00:00"/>
    <n v="819.05"/>
  </r>
  <r>
    <x v="10"/>
    <s v="cesta"/>
    <d v="2025-06-01T00:00:00"/>
    <n v="831.37"/>
  </r>
  <r>
    <x v="11"/>
    <s v="cesta"/>
    <d v="2015-01-01T00:00:00"/>
    <n v="290.43"/>
  </r>
  <r>
    <x v="11"/>
    <s v="cesta"/>
    <d v="2015-02-01T00:00:00"/>
    <n v="294.93"/>
  </r>
  <r>
    <x v="11"/>
    <s v="cesta"/>
    <d v="2015-03-01T00:00:00"/>
    <n v="298.60000000000002"/>
  </r>
  <r>
    <x v="11"/>
    <s v="cesta"/>
    <d v="2015-04-01T00:00:00"/>
    <n v="307.45999999999998"/>
  </r>
  <r>
    <x v="11"/>
    <s v="cesta"/>
    <d v="2015-05-01T00:00:00"/>
    <n v="331.23"/>
  </r>
  <r>
    <x v="11"/>
    <s v="cesta"/>
    <d v="2015-06-01T00:00:00"/>
    <n v="318.52999999999997"/>
  </r>
  <r>
    <x v="11"/>
    <s v="cesta"/>
    <d v="2015-07-01T00:00:00"/>
    <n v="309.38"/>
  </r>
  <r>
    <x v="11"/>
    <s v="cesta"/>
    <d v="2015-08-01T00:00:00"/>
    <n v="309.42"/>
  </r>
  <r>
    <x v="11"/>
    <s v="cesta"/>
    <d v="2015-09-01T00:00:00"/>
    <n v="298.58"/>
  </r>
  <r>
    <x v="11"/>
    <s v="cesta"/>
    <d v="2015-10-01T00:00:00"/>
    <n v="297.77999999999997"/>
  </r>
  <r>
    <x v="11"/>
    <s v="cesta"/>
    <d v="2015-11-01T00:00:00"/>
    <n v="323.14999999999998"/>
  </r>
  <r>
    <x v="11"/>
    <s v="cesta"/>
    <d v="2015-12-01T00:00:00"/>
    <n v="327.82"/>
  </r>
  <r>
    <x v="11"/>
    <s v="cesta"/>
    <d v="2016-01-01T00:00:00"/>
    <n v="344.47"/>
  </r>
  <r>
    <x v="11"/>
    <s v="cesta"/>
    <d v="2016-02-01T00:00:00"/>
    <n v="349.96"/>
  </r>
  <r>
    <x v="11"/>
    <s v="cesta"/>
    <d v="2016-03-01T00:00:00"/>
    <n v="347.21"/>
  </r>
  <r>
    <x v="11"/>
    <s v="cesta"/>
    <d v="2016-04-01T00:00:00"/>
    <n v="358.55"/>
  </r>
  <r>
    <x v="11"/>
    <s v="cesta"/>
    <d v="2016-05-01T00:00:00"/>
    <n v="353.78"/>
  </r>
  <r>
    <x v="11"/>
    <s v="cesta"/>
    <d v="2016-06-01T00:00:00"/>
    <n v="365.79"/>
  </r>
  <r>
    <x v="11"/>
    <s v="cesta"/>
    <d v="2016-07-01T00:00:00"/>
    <n v="374.54"/>
  </r>
  <r>
    <x v="11"/>
    <s v="cesta"/>
    <d v="2016-08-01T00:00:00"/>
    <n v="371.6"/>
  </r>
  <r>
    <x v="11"/>
    <s v="cesta"/>
    <d v="2016-09-01T00:00:00"/>
    <n v="375.55"/>
  </r>
  <r>
    <x v="11"/>
    <s v="cesta"/>
    <d v="2016-10-01T00:00:00"/>
    <n v="373.66"/>
  </r>
  <r>
    <x v="11"/>
    <s v="cesta"/>
    <d v="2016-11-01T00:00:00"/>
    <n v="353.08"/>
  </r>
  <r>
    <x v="11"/>
    <s v="cesta"/>
    <d v="2016-12-01T00:00:00"/>
    <n v="347.96"/>
  </r>
  <r>
    <x v="11"/>
    <s v="cesta"/>
    <d v="2017-01-01T00:00:00"/>
    <n v="346.44"/>
  </r>
  <r>
    <x v="11"/>
    <s v="cesta"/>
    <d v="2017-02-01T00:00:00"/>
    <n v="344.06"/>
  </r>
  <r>
    <x v="11"/>
    <s v="cesta"/>
    <d v="2017-03-01T00:00:00"/>
    <n v="356.21"/>
  </r>
  <r>
    <x v="11"/>
    <s v="cesta"/>
    <d v="2017-04-01T00:00:00"/>
    <n v="368.74"/>
  </r>
  <r>
    <x v="11"/>
    <s v="cesta"/>
    <d v="2017-05-01T00:00:00"/>
    <n v="379.39"/>
  </r>
  <r>
    <x v="11"/>
    <s v="cesta"/>
    <d v="2017-06-01T00:00:00"/>
    <n v="373.84"/>
  </r>
  <r>
    <x v="11"/>
    <s v="cesta"/>
    <d v="2017-07-01T00:00:00"/>
    <n v="361.65"/>
  </r>
  <r>
    <x v="11"/>
    <s v="cesta"/>
    <d v="2017-08-01T00:00:00"/>
    <n v="340.54"/>
  </r>
  <r>
    <x v="11"/>
    <s v="cesta"/>
    <d v="2017-09-01T00:00:00"/>
    <n v="328.63"/>
  </r>
  <r>
    <x v="11"/>
    <s v="cesta"/>
    <d v="2017-10-01T00:00:00"/>
    <n v="325.95999999999998"/>
  </r>
  <r>
    <x v="11"/>
    <s v="cesta"/>
    <d v="2017-11-01T00:00:00"/>
    <n v="327.85"/>
  </r>
  <r>
    <x v="11"/>
    <s v="cesta"/>
    <d v="2017-12-01T00:00:00"/>
    <n v="332.15"/>
  </r>
  <r>
    <x v="11"/>
    <s v="cesta"/>
    <d v="2018-01-01T00:00:00"/>
    <n v="356.47"/>
  </r>
  <r>
    <x v="11"/>
    <s v="cesta"/>
    <d v="2018-02-01T00:00:00"/>
    <n v="356.06"/>
  </r>
  <r>
    <x v="11"/>
    <s v="cesta"/>
    <d v="2018-03-01T00:00:00"/>
    <n v="342.46"/>
  </r>
  <r>
    <x v="11"/>
    <s v="cesta"/>
    <d v="2018-04-01T00:00:00"/>
    <n v="333.11"/>
  </r>
  <r>
    <x v="11"/>
    <s v="cesta"/>
    <d v="2018-05-01T00:00:00"/>
    <n v="336.36"/>
  </r>
  <r>
    <x v="11"/>
    <s v="cesta"/>
    <d v="2018-06-01T00:00:00"/>
    <n v="355.93"/>
  </r>
  <r>
    <x v="11"/>
    <s v="cesta"/>
    <d v="2018-07-01T00:00:00"/>
    <n v="347.43"/>
  </r>
  <r>
    <x v="11"/>
    <s v="cesta"/>
    <d v="2018-08-01T00:00:00"/>
    <n v="340.14"/>
  </r>
  <r>
    <x v="11"/>
    <s v="cesta"/>
    <d v="2018-09-01T00:00:00"/>
    <n v="332.75"/>
  </r>
  <r>
    <x v="11"/>
    <s v="cesta"/>
    <d v="2018-10-01T00:00:00"/>
    <n v="330.2"/>
  </r>
  <r>
    <x v="11"/>
    <s v="cesta"/>
    <d v="2018-11-01T00:00:00"/>
    <n v="333.5"/>
  </r>
  <r>
    <x v="11"/>
    <s v="cesta"/>
    <d v="2018-12-01T00:00:00"/>
    <n v="340.57"/>
  </r>
  <r>
    <x v="11"/>
    <s v="cesta"/>
    <d v="2019-01-01T00:00:00"/>
    <n v="348.85"/>
  </r>
  <r>
    <x v="11"/>
    <s v="cesta"/>
    <d v="2019-02-01T00:00:00"/>
    <n v="376.34"/>
  </r>
  <r>
    <x v="11"/>
    <s v="cesta"/>
    <d v="2019-03-01T00:00:00"/>
    <n v="401.35"/>
  </r>
  <r>
    <x v="11"/>
    <s v="cesta"/>
    <d v="2019-04-01T00:00:00"/>
    <n v="417.03"/>
  </r>
  <r>
    <x v="11"/>
    <s v="cesta"/>
    <d v="2019-05-01T00:00:00"/>
    <n v="417.85"/>
  </r>
  <r>
    <x v="11"/>
    <s v="cesta"/>
    <d v="2019-06-01T00:00:00"/>
    <n v="396.21"/>
  </r>
  <r>
    <x v="11"/>
    <s v="cesta"/>
    <d v="2019-07-01T00:00:00"/>
    <n v="381.1"/>
  </r>
  <r>
    <x v="11"/>
    <s v="cesta"/>
    <d v="2019-08-01T00:00:00"/>
    <n v="361.64"/>
  </r>
  <r>
    <x v="11"/>
    <s v="cesta"/>
    <d v="2019-09-01T00:00:00"/>
    <n v="367.16"/>
  </r>
  <r>
    <x v="11"/>
    <s v="cesta"/>
    <d v="2019-10-01T00:00:00"/>
    <n v="359.55"/>
  </r>
  <r>
    <x v="11"/>
    <s v="cesta"/>
    <d v="2019-11-01T00:00:00"/>
    <n v="354.64"/>
  </r>
  <r>
    <x v="11"/>
    <s v="cesta"/>
    <d v="2019-12-01T00:00:00"/>
    <n v="393.8"/>
  </r>
  <r>
    <x v="11"/>
    <s v="cesta"/>
    <d v="2020-01-01T00:00:00"/>
    <n v="395.93"/>
  </r>
  <r>
    <x v="11"/>
    <s v="cesta"/>
    <d v="2020-02-01T00:00:00"/>
    <n v="420.27"/>
  </r>
  <r>
    <x v="11"/>
    <s v="cesta"/>
    <d v="2020-03-01T00:00:00"/>
    <n v="433.28"/>
  </r>
  <r>
    <x v="11"/>
    <s v="cesta"/>
    <d v="2020-04-01T00:00:00"/>
    <n v="461.26"/>
  </r>
  <r>
    <x v="11"/>
    <s v="cesta"/>
    <d v="2020-05-01T00:00:00"/>
    <n v="451.45"/>
  </r>
  <r>
    <x v="11"/>
    <s v="cesta"/>
    <d v="2020-06-01T00:00:00"/>
    <n v="435.3"/>
  </r>
  <r>
    <x v="11"/>
    <s v="cesta"/>
    <d v="2020-07-01T00:00:00"/>
    <n v="436.1"/>
  </r>
  <r>
    <x v="11"/>
    <s v="cesta"/>
    <d v="2020-08-01T00:00:00"/>
    <n v="439.19"/>
  </r>
  <r>
    <x v="11"/>
    <s v="cesta"/>
    <d v="2020-09-01T00:00:00"/>
    <n v="464.31"/>
  </r>
  <r>
    <x v="11"/>
    <s v="cesta"/>
    <d v="2020-10-01T00:00:00"/>
    <n v="469.05"/>
  </r>
  <r>
    <x v="11"/>
    <s v="cesta"/>
    <d v="2020-11-01T00:00:00"/>
    <n v="462.98"/>
  </r>
  <r>
    <x v="11"/>
    <s v="cesta"/>
    <d v="2020-12-01T00:00:00"/>
    <n v="469.39"/>
  </r>
  <r>
    <x v="11"/>
    <s v="cesta"/>
    <d v="2021-01-01T00:00:00"/>
    <n v="474.22"/>
  </r>
  <r>
    <x v="11"/>
    <s v="cesta"/>
    <d v="2021-02-01T00:00:00"/>
    <n v="469.71"/>
  </r>
  <r>
    <x v="11"/>
    <s v="cesta"/>
    <d v="2021-03-01T00:00:00"/>
    <n v="461.33"/>
  </r>
  <r>
    <x v="11"/>
    <s v="cesta"/>
    <d v="2021-04-01T00:00:00"/>
    <n v="471.52"/>
  </r>
  <r>
    <x v="11"/>
    <s v="cesta"/>
    <d v="2021-05-01T00:00:00"/>
    <n v="480.8"/>
  </r>
  <r>
    <x v="11"/>
    <s v="cesta"/>
    <d v="2021-06-01T00:00:00"/>
    <n v="483.92"/>
  </r>
  <r>
    <x v="11"/>
    <s v="cesta"/>
    <d v="2021-07-01T00:00:00"/>
    <n v="487.6"/>
  </r>
  <r>
    <x v="11"/>
    <s v="cesta"/>
    <d v="2021-08-01T00:00:00"/>
    <n v="491.46"/>
  </r>
  <r>
    <x v="11"/>
    <s v="cesta"/>
    <d v="2021-09-01T00:00:00"/>
    <n v="489.4"/>
  </r>
  <r>
    <x v="11"/>
    <s v="cesta"/>
    <d v="2021-10-01T00:00:00"/>
    <n v="485.26"/>
  </r>
  <r>
    <x v="11"/>
    <s v="cesta"/>
    <d v="2021-11-01T00:00:00"/>
    <n v="524.73"/>
  </r>
  <r>
    <x v="11"/>
    <s v="cesta"/>
    <d v="2021-12-01T00:00:00"/>
    <n v="532.37"/>
  </r>
  <r>
    <x v="11"/>
    <s v="cesta"/>
    <d v="2022-01-01T00:00:00"/>
    <n v="543.1"/>
  </r>
  <r>
    <x v="11"/>
    <s v="cesta"/>
    <d v="2022-02-01T00:00:00"/>
    <n v="549.20000000000005"/>
  </r>
  <r>
    <x v="11"/>
    <s v="cesta"/>
    <d v="2022-03-01T00:00:00"/>
    <n v="561.57000000000005"/>
  </r>
  <r>
    <x v="11"/>
    <s v="cesta"/>
    <d v="2022-04-01T00:00:00"/>
    <n v="582.74"/>
  </r>
  <r>
    <x v="11"/>
    <s v="cesta"/>
    <d v="2022-05-01T00:00:00"/>
    <n v="595.89"/>
  </r>
  <r>
    <x v="11"/>
    <s v="cesta"/>
    <d v="2022-06-01T00:00:00"/>
    <n v="612.34"/>
  </r>
  <r>
    <x v="11"/>
    <s v="cesta"/>
    <d v="2022-07-01T00:00:00"/>
    <n v="616.63"/>
  </r>
  <r>
    <x v="11"/>
    <s v="cesta"/>
    <d v="2022-08-01T00:00:00"/>
    <n v="598.14"/>
  </r>
  <r>
    <x v="11"/>
    <s v="cesta"/>
    <d v="2022-09-01T00:00:00"/>
    <n v="580.01"/>
  </r>
  <r>
    <x v="11"/>
    <s v="cesta"/>
    <d v="2022-10-01T00:00:00"/>
    <n v="558.4"/>
  </r>
  <r>
    <x v="11"/>
    <s v="cesta"/>
    <d v="2022-11-01T00:00:00"/>
    <n v="551.29999999999995"/>
  </r>
  <r>
    <x v="11"/>
    <s v="cesta"/>
    <d v="2022-12-01T00:00:00"/>
    <n v="565.09"/>
  </r>
  <r>
    <x v="11"/>
    <s v="cesta"/>
    <d v="2023-01-01T00:00:00"/>
    <n v="608.1"/>
  </r>
  <r>
    <x v="11"/>
    <s v="cesta"/>
    <d v="2023-02-01T00:00:00"/>
    <n v="606.92999999999995"/>
  </r>
  <r>
    <x v="11"/>
    <s v="cesta"/>
    <d v="2023-03-01T00:00:00"/>
    <n v="578.73"/>
  </r>
  <r>
    <x v="11"/>
    <s v="cesta"/>
    <d v="2023-04-01T00:00:00"/>
    <n v="582.26"/>
  </r>
  <r>
    <x v="11"/>
    <s v="cesta"/>
    <d v="2023-05-01T00:00:00"/>
    <n v="587.13"/>
  </r>
  <r>
    <x v="11"/>
    <s v="cesta"/>
    <d v="2023-06-01T00:00:00"/>
    <n v="621.14"/>
  </r>
  <r>
    <x v="11"/>
    <s v="cesta"/>
    <d v="2023-07-01T00:00:00"/>
    <n v="592.71"/>
  </r>
  <r>
    <x v="11"/>
    <s v="cesta"/>
    <d v="2023-08-01T00:00:00"/>
    <n v="580.72"/>
  </r>
  <r>
    <x v="11"/>
    <s v="cesta"/>
    <d v="2023-09-01T00:00:00"/>
    <n v="570.20000000000005"/>
  </r>
  <r>
    <x v="11"/>
    <s v="cesta"/>
    <d v="2023-10-01T00:00:00"/>
    <n v="557.1"/>
  </r>
  <r>
    <x v="11"/>
    <s v="cesta"/>
    <d v="2023-11-01T00:00:00"/>
    <n v="551.04"/>
  </r>
  <r>
    <x v="11"/>
    <s v="cesta"/>
    <d v="2023-12-01T00:00:00"/>
    <n v="538.08000000000004"/>
  </r>
  <r>
    <x v="11"/>
    <s v="cesta"/>
    <d v="2024-01-01T00:00:00"/>
    <n v="550.51"/>
  </r>
  <r>
    <x v="11"/>
    <s v="cesta"/>
    <d v="2024-02-01T00:00:00"/>
    <n v="559.67999999999995"/>
  </r>
  <r>
    <x v="11"/>
    <s v="cesta"/>
    <d v="2024-03-01T00:00:00"/>
    <n v="592.19000000000005"/>
  </r>
  <r>
    <x v="11"/>
    <s v="cesta"/>
    <d v="2024-04-01T00:00:00"/>
    <n v="617.28"/>
  </r>
  <r>
    <x v="11"/>
    <s v="cesta"/>
    <d v="2024-05-01T00:00:00"/>
    <n v="618.47"/>
  </r>
  <r>
    <x v="11"/>
    <s v="cesta"/>
    <d v="2024-06-01T00:00:00"/>
    <n v="582.9"/>
  </r>
  <r>
    <x v="11"/>
    <s v="cesta"/>
    <d v="2024-07-01T00:00:00"/>
    <n v="548.42999999999995"/>
  </r>
  <r>
    <x v="11"/>
    <s v="cesta"/>
    <d v="2024-08-01T00:00:00"/>
    <n v="533.12"/>
  </r>
  <r>
    <x v="11"/>
    <s v="cesta"/>
    <d v="2024-09-01T00:00:00"/>
    <n v="535.32000000000005"/>
  </r>
  <r>
    <x v="11"/>
    <s v="cesta"/>
    <d v="2024-10-01T00:00:00"/>
    <n v="548.19000000000005"/>
  </r>
  <r>
    <x v="11"/>
    <s v="cesta"/>
    <d v="2024-11-01T00:00:00"/>
    <n v="578.16"/>
  </r>
  <r>
    <x v="11"/>
    <s v="cesta"/>
    <d v="2024-12-01T00:00:00"/>
    <n v="588.35"/>
  </r>
  <r>
    <x v="11"/>
    <s v="cesta"/>
    <d v="2025-01-01T00:00:00"/>
    <n v="598.72"/>
  </r>
  <r>
    <x v="11"/>
    <s v="cesta"/>
    <d v="2025-02-01T00:00:00"/>
    <n v="625.33000000000004"/>
  </r>
  <r>
    <x v="11"/>
    <s v="cesta"/>
    <d v="2025-03-01T00:00:00"/>
    <n v="627.14"/>
  </r>
  <r>
    <x v="11"/>
    <s v="cesta"/>
    <d v="2025-04-01T00:00:00"/>
    <n v="652.71"/>
  </r>
  <r>
    <x v="11"/>
    <s v="cesta"/>
    <d v="2025-05-01T00:00:00"/>
    <n v="636"/>
  </r>
  <r>
    <x v="11"/>
    <s v="cesta"/>
    <d v="2025-06-01T00:00:00"/>
    <n v="637.62"/>
  </r>
  <r>
    <x v="12"/>
    <s v="cesta"/>
    <d v="2015-01-01T00:00:00"/>
    <n v="353.51"/>
  </r>
  <r>
    <x v="12"/>
    <s v="cesta"/>
    <d v="2015-02-01T00:00:00"/>
    <n v="357.27"/>
  </r>
  <r>
    <x v="12"/>
    <s v="cesta"/>
    <d v="2015-03-01T00:00:00"/>
    <n v="358.68"/>
  </r>
  <r>
    <x v="12"/>
    <s v="cesta"/>
    <d v="2015-04-01T00:00:00"/>
    <n v="374.85"/>
  </r>
  <r>
    <x v="12"/>
    <s v="cesta"/>
    <d v="2015-05-01T00:00:00"/>
    <n v="395.23"/>
  </r>
  <r>
    <x v="12"/>
    <s v="cesta"/>
    <d v="2015-06-01T00:00:00"/>
    <n v="368.71"/>
  </r>
  <r>
    <x v="12"/>
    <s v="cesta"/>
    <d v="2015-07-01T00:00:00"/>
    <n v="372.24"/>
  </r>
  <r>
    <x v="12"/>
    <s v="cesta"/>
    <d v="2015-08-01T00:00:00"/>
    <n v="361.93"/>
  </r>
  <r>
    <x v="12"/>
    <s v="cesta"/>
    <d v="2015-09-01T00:00:00"/>
    <n v="362.9"/>
  </r>
  <r>
    <x v="12"/>
    <s v="cesta"/>
    <d v="2015-10-01T00:00:00"/>
    <n v="359.66"/>
  </r>
  <r>
    <x v="12"/>
    <s v="cesta"/>
    <d v="2015-11-01T00:00:00"/>
    <n v="385.8"/>
  </r>
  <r>
    <x v="12"/>
    <s v="cesta"/>
    <d v="2015-12-01T00:00:00"/>
    <n v="394.21"/>
  </r>
  <r>
    <x v="12"/>
    <s v="cesta"/>
    <d v="2016-01-01T00:00:00"/>
    <n v="448.06"/>
  </r>
  <r>
    <x v="12"/>
    <s v="cesta"/>
    <d v="2016-02-01T00:00:00"/>
    <n v="430.56"/>
  </r>
  <r>
    <x v="12"/>
    <s v="cesta"/>
    <d v="2016-03-01T00:00:00"/>
    <n v="440.79"/>
  </r>
  <r>
    <x v="12"/>
    <s v="cesta"/>
    <d v="2016-04-01T00:00:00"/>
    <n v="433.96"/>
  </r>
  <r>
    <x v="12"/>
    <s v="cesta"/>
    <d v="2016-05-01T00:00:00"/>
    <n v="436.02"/>
  </r>
  <r>
    <x v="12"/>
    <s v="cesta"/>
    <d v="2016-06-01T00:00:00"/>
    <n v="439.33"/>
  </r>
  <r>
    <x v="12"/>
    <s v="cesta"/>
    <d v="2016-07-01T00:00:00"/>
    <n v="448.28"/>
  </r>
  <r>
    <x v="12"/>
    <s v="cesta"/>
    <d v="2016-08-01T00:00:00"/>
    <n v="455.45"/>
  </r>
  <r>
    <x v="12"/>
    <s v="cesta"/>
    <d v="2016-09-01T00:00:00"/>
    <n v="451.58"/>
  </r>
  <r>
    <x v="12"/>
    <s v="cesta"/>
    <d v="2016-10-01T00:00:00"/>
    <n v="456.44"/>
  </r>
  <r>
    <x v="12"/>
    <s v="cesta"/>
    <d v="2016-11-01T00:00:00"/>
    <n v="448.73"/>
  </r>
  <r>
    <x v="12"/>
    <s v="cesta"/>
    <d v="2016-12-01T00:00:00"/>
    <n v="443.75"/>
  </r>
  <r>
    <x v="12"/>
    <s v="cesta"/>
    <d v="2017-01-01T00:00:00"/>
    <n v="440.16"/>
  </r>
  <r>
    <x v="12"/>
    <s v="cesta"/>
    <d v="2017-02-01T00:00:00"/>
    <n v="424.55"/>
  </r>
  <r>
    <x v="12"/>
    <s v="cesta"/>
    <d v="2017-03-01T00:00:00"/>
    <n v="431.31"/>
  </r>
  <r>
    <x v="12"/>
    <s v="cesta"/>
    <d v="2017-04-01T00:00:00"/>
    <n v="448.51"/>
  </r>
  <r>
    <x v="12"/>
    <s v="cesta"/>
    <d v="2017-05-01T00:00:00"/>
    <n v="442.56"/>
  </r>
  <r>
    <x v="12"/>
    <s v="cesta"/>
    <d v="2017-06-01T00:00:00"/>
    <n v="420.35"/>
  </r>
  <r>
    <x v="12"/>
    <s v="cesta"/>
    <d v="2017-07-01T00:00:00"/>
    <n v="425.62"/>
  </r>
  <r>
    <x v="12"/>
    <s v="cesta"/>
    <d v="2017-08-01T00:00:00"/>
    <n v="410.43"/>
  </r>
  <r>
    <x v="12"/>
    <s v="cesta"/>
    <d v="2017-09-01T00:00:00"/>
    <n v="410.27"/>
  </r>
  <r>
    <x v="12"/>
    <s v="cesta"/>
    <d v="2017-10-01T00:00:00"/>
    <n v="421.05"/>
  </r>
  <r>
    <x v="12"/>
    <s v="cesta"/>
    <d v="2017-11-01T00:00:00"/>
    <n v="407.37"/>
  </r>
  <r>
    <x v="12"/>
    <s v="cesta"/>
    <d v="2017-12-01T00:00:00"/>
    <n v="418.71"/>
  </r>
  <r>
    <x v="12"/>
    <s v="cesta"/>
    <d v="2018-01-01T00:00:00"/>
    <n v="443.81"/>
  </r>
  <r>
    <x v="12"/>
    <s v="cesta"/>
    <d v="2018-02-01T00:00:00"/>
    <n v="438.36"/>
  </r>
  <r>
    <x v="12"/>
    <s v="cesta"/>
    <d v="2018-03-01T00:00:00"/>
    <n v="441.19"/>
  </r>
  <r>
    <x v="12"/>
    <s v="cesta"/>
    <d v="2018-04-01T00:00:00"/>
    <n v="440.06"/>
  </r>
  <r>
    <x v="12"/>
    <s v="cesta"/>
    <d v="2018-05-01T00:00:00"/>
    <n v="446.03"/>
  </r>
  <r>
    <x v="12"/>
    <s v="cesta"/>
    <d v="2018-06-01T00:00:00"/>
    <n v="445.58"/>
  </r>
  <r>
    <x v="12"/>
    <s v="cesta"/>
    <d v="2018-07-01T00:00:00"/>
    <n v="421.89"/>
  </r>
  <r>
    <x v="12"/>
    <s v="cesta"/>
    <d v="2018-08-01T00:00:00"/>
    <n v="417.05"/>
  </r>
  <r>
    <x v="12"/>
    <s v="cesta"/>
    <d v="2018-09-01T00:00:00"/>
    <n v="418.48"/>
  </r>
  <r>
    <x v="12"/>
    <s v="cesta"/>
    <d v="2018-10-01T00:00:00"/>
    <n v="443.69"/>
  </r>
  <r>
    <x v="12"/>
    <s v="cesta"/>
    <d v="2018-11-01T00:00:00"/>
    <n v="460.24"/>
  </r>
  <r>
    <x v="12"/>
    <s v="cesta"/>
    <d v="2018-12-01T00:00:00"/>
    <n v="466.75"/>
  </r>
  <r>
    <x v="12"/>
    <s v="cesta"/>
    <d v="2019-01-01T00:00:00"/>
    <n v="460.46"/>
  </r>
  <r>
    <x v="12"/>
    <s v="cesta"/>
    <d v="2019-02-01T00:00:00"/>
    <n v="464.47"/>
  </r>
  <r>
    <x v="12"/>
    <s v="cesta"/>
    <d v="2019-03-01T00:00:00"/>
    <n v="496.33"/>
  </r>
  <r>
    <x v="12"/>
    <s v="cesta"/>
    <d v="2019-04-01T00:00:00"/>
    <n v="515.58000000000004"/>
  </r>
  <r>
    <x v="12"/>
    <s v="cesta"/>
    <d v="2019-05-01T00:00:00"/>
    <n v="492.93"/>
  </r>
  <r>
    <x v="12"/>
    <s v="cesta"/>
    <d v="2019-06-01T00:00:00"/>
    <n v="498.67"/>
  </r>
  <r>
    <x v="12"/>
    <s v="cesta"/>
    <d v="2019-07-01T00:00:00"/>
    <n v="479.28"/>
  </r>
  <r>
    <x v="12"/>
    <s v="cesta"/>
    <d v="2019-08-01T00:00:00"/>
    <n v="462.24"/>
  </r>
  <r>
    <x v="12"/>
    <s v="cesta"/>
    <d v="2019-09-01T00:00:00"/>
    <n v="458.21"/>
  </r>
  <r>
    <x v="12"/>
    <s v="cesta"/>
    <d v="2019-10-01T00:00:00"/>
    <n v="462.57"/>
  </r>
  <r>
    <x v="12"/>
    <s v="cesta"/>
    <d v="2019-11-01T00:00:00"/>
    <n v="455.37"/>
  </r>
  <r>
    <x v="12"/>
    <s v="cesta"/>
    <d v="2019-12-01T00:00:00"/>
    <n v="516.91"/>
  </r>
  <r>
    <x v="12"/>
    <s v="cesta"/>
    <d v="2020-01-01T00:00:00"/>
    <n v="507.13"/>
  </r>
  <r>
    <x v="12"/>
    <s v="cesta"/>
    <d v="2020-02-01T00:00:00"/>
    <n v="505.55"/>
  </r>
  <r>
    <x v="12"/>
    <s v="cesta"/>
    <d v="2020-03-01T00:00:00"/>
    <n v="533.65"/>
  </r>
  <r>
    <x v="12"/>
    <s v="cesta"/>
    <d v="2020-04-01T00:00:00"/>
    <n v="544.34"/>
  </r>
  <r>
    <x v="12"/>
    <s v="cesta"/>
    <d v="2020-05-01T00:00:00"/>
    <n v="558.80999999999995"/>
  </r>
  <r>
    <x v="12"/>
    <s v="cesta"/>
    <d v="2020-06-01T00:00:00"/>
    <n v="512.84"/>
  </r>
  <r>
    <x v="12"/>
    <s v="cesta"/>
    <d v="2020-07-01T00:00:00"/>
    <n v="505.72"/>
  </r>
  <r>
    <x v="12"/>
    <s v="cesta"/>
    <d v="2020-08-01T00:00:00"/>
    <n v="529.76"/>
  </r>
  <r>
    <x v="12"/>
    <s v="cesta"/>
    <d v="2020-09-01T00:00:00"/>
    <n v="563.75"/>
  </r>
  <r>
    <x v="12"/>
    <s v="cesta"/>
    <d v="2020-10-01T00:00:00"/>
    <n v="592.25"/>
  </r>
  <r>
    <x v="12"/>
    <s v="cesta"/>
    <d v="2020-11-01T00:00:00"/>
    <n v="629.63"/>
  </r>
  <r>
    <x v="12"/>
    <s v="cesta"/>
    <d v="2020-12-01T00:00:00"/>
    <n v="621.09"/>
  </r>
  <r>
    <x v="12"/>
    <s v="cesta"/>
    <d v="2021-01-01T00:00:00"/>
    <n v="644"/>
  </r>
  <r>
    <x v="12"/>
    <s v="cesta"/>
    <d v="2021-02-01T00:00:00"/>
    <n v="629.82000000000005"/>
  </r>
  <r>
    <x v="12"/>
    <s v="cesta"/>
    <d v="2021-03-01T00:00:00"/>
    <n v="612.55999999999995"/>
  </r>
  <r>
    <x v="12"/>
    <s v="cesta"/>
    <d v="2021-04-01T00:00:00"/>
    <n v="622.04"/>
  </r>
  <r>
    <x v="12"/>
    <s v="cesta"/>
    <d v="2021-05-01T00:00:00"/>
    <n v="622.76"/>
  </r>
  <r>
    <x v="12"/>
    <s v="cesta"/>
    <d v="2021-06-01T00:00:00"/>
    <n v="619.24"/>
  </r>
  <r>
    <x v="12"/>
    <s v="cesta"/>
    <d v="2021-07-01T00:00:00"/>
    <n v="621.34"/>
  </r>
  <r>
    <x v="12"/>
    <s v="cesta"/>
    <d v="2021-08-01T00:00:00"/>
    <n v="634.17999999999995"/>
  </r>
  <r>
    <x v="12"/>
    <s v="cesta"/>
    <d v="2021-09-01T00:00:00"/>
    <n v="643.05999999999995"/>
  </r>
  <r>
    <x v="12"/>
    <s v="cesta"/>
    <d v="2021-10-01T00:00:00"/>
    <n v="673.85"/>
  </r>
  <r>
    <x v="12"/>
    <s v="cesta"/>
    <d v="2021-11-01T00:00:00"/>
    <n v="665.6"/>
  </r>
  <r>
    <x v="12"/>
    <s v="cesta"/>
    <d v="2021-12-01T00:00:00"/>
    <n v="666.26"/>
  </r>
  <r>
    <x v="12"/>
    <s v="cesta"/>
    <d v="2022-01-01T00:00:00"/>
    <n v="692.83"/>
  </r>
  <r>
    <x v="12"/>
    <s v="cesta"/>
    <d v="2022-02-01T00:00:00"/>
    <n v="697.37"/>
  </r>
  <r>
    <x v="12"/>
    <s v="cesta"/>
    <d v="2022-03-01T00:00:00"/>
    <n v="750.71"/>
  </r>
  <r>
    <x v="12"/>
    <s v="cesta"/>
    <d v="2022-04-01T00:00:00"/>
    <n v="768.42"/>
  </r>
  <r>
    <x v="12"/>
    <s v="cesta"/>
    <d v="2022-05-01T00:00:00"/>
    <n v="723.55"/>
  </r>
  <r>
    <x v="12"/>
    <s v="cesta"/>
    <d v="2022-06-01T00:00:00"/>
    <n v="733.14"/>
  </r>
  <r>
    <x v="12"/>
    <s v="cesta"/>
    <d v="2022-07-01T00:00:00"/>
    <n v="723.75"/>
  </r>
  <r>
    <x v="12"/>
    <s v="cesta"/>
    <d v="2022-08-01T00:00:00"/>
    <n v="717.82"/>
  </r>
  <r>
    <x v="12"/>
    <s v="cesta"/>
    <d v="2022-09-01T00:00:00"/>
    <n v="714.14"/>
  </r>
  <r>
    <x v="12"/>
    <s v="cesta"/>
    <d v="2022-10-01T00:00:00"/>
    <n v="736.28"/>
  </r>
  <r>
    <x v="12"/>
    <s v="cesta"/>
    <d v="2022-11-01T00:00:00"/>
    <n v="749.25"/>
  </r>
  <r>
    <x v="12"/>
    <s v="cesta"/>
    <d v="2022-12-01T00:00:00"/>
    <n v="752.74"/>
  </r>
  <r>
    <x v="12"/>
    <s v="cesta"/>
    <d v="2023-01-01T00:00:00"/>
    <n v="770.19"/>
  </r>
  <r>
    <x v="12"/>
    <s v="cesta"/>
    <d v="2023-02-01T00:00:00"/>
    <n v="745.96"/>
  </r>
  <r>
    <x v="12"/>
    <s v="cesta"/>
    <d v="2023-03-01T00:00:00"/>
    <n v="735.62"/>
  </r>
  <r>
    <x v="12"/>
    <s v="cesta"/>
    <d v="2023-04-01T00:00:00"/>
    <n v="750.77"/>
  </r>
  <r>
    <x v="12"/>
    <s v="cesta"/>
    <d v="2023-05-01T00:00:00"/>
    <n v="749.76"/>
  </r>
  <r>
    <x v="12"/>
    <s v="cesta"/>
    <d v="2023-06-01T00:00:00"/>
    <n v="741"/>
  </r>
  <r>
    <x v="12"/>
    <s v="cesta"/>
    <d v="2023-07-01T00:00:00"/>
    <n v="738.12"/>
  </r>
  <r>
    <x v="12"/>
    <s v="cesta"/>
    <d v="2023-08-01T00:00:00"/>
    <n v="722.78"/>
  </r>
  <r>
    <x v="12"/>
    <s v="cesta"/>
    <d v="2023-09-01T00:00:00"/>
    <n v="719.92"/>
  </r>
  <r>
    <x v="12"/>
    <s v="cesta"/>
    <d v="2023-10-01T00:00:00"/>
    <n v="721.17"/>
  </r>
  <r>
    <x v="12"/>
    <s v="cesta"/>
    <d v="2023-11-01T00:00:00"/>
    <n v="728.27"/>
  </r>
  <r>
    <x v="12"/>
    <s v="cesta"/>
    <d v="2023-12-01T00:00:00"/>
    <n v="738.61"/>
  </r>
  <r>
    <x v="12"/>
    <s v="cesta"/>
    <d v="2024-01-01T00:00:00"/>
    <n v="791.77"/>
  </r>
  <r>
    <x v="12"/>
    <s v="cesta"/>
    <d v="2024-02-01T00:00:00"/>
    <n v="832.8"/>
  </r>
  <r>
    <x v="12"/>
    <s v="cesta"/>
    <d v="2024-03-01T00:00:00"/>
    <n v="812.25"/>
  </r>
  <r>
    <x v="12"/>
    <s v="cesta"/>
    <d v="2024-04-01T00:00:00"/>
    <n v="801.15"/>
  </r>
  <r>
    <x v="12"/>
    <s v="cesta"/>
    <d v="2024-05-01T00:00:00"/>
    <n v="796.67"/>
  </r>
  <r>
    <x v="12"/>
    <s v="cesta"/>
    <d v="2024-06-01T00:00:00"/>
    <n v="814.38"/>
  </r>
  <r>
    <x v="12"/>
    <s v="cesta"/>
    <d v="2024-07-01T00:00:00"/>
    <n v="757.64"/>
  </r>
  <r>
    <x v="12"/>
    <s v="cesta"/>
    <d v="2024-08-01T00:00:00"/>
    <n v="745.64"/>
  </r>
  <r>
    <x v="12"/>
    <s v="cesta"/>
    <d v="2024-09-01T00:00:00"/>
    <n v="757.3"/>
  </r>
  <r>
    <x v="12"/>
    <s v="cesta"/>
    <d v="2024-10-01T00:00:00"/>
    <n v="773.7"/>
  </r>
  <r>
    <x v="12"/>
    <s v="cesta"/>
    <d v="2024-11-01T00:00:00"/>
    <n v="777.66"/>
  </r>
  <r>
    <x v="12"/>
    <s v="cesta"/>
    <d v="2024-12-01T00:00:00"/>
    <n v="779.84"/>
  </r>
  <r>
    <x v="12"/>
    <s v="cesta"/>
    <d v="2025-01-01T00:00:00"/>
    <n v="802.88"/>
  </r>
  <r>
    <x v="12"/>
    <s v="cesta"/>
    <d v="2025-02-01T00:00:00"/>
    <n v="814.9"/>
  </r>
  <r>
    <x v="12"/>
    <s v="cesta"/>
    <d v="2025-03-01T00:00:00"/>
    <n v="835.5"/>
  </r>
  <r>
    <x v="12"/>
    <s v="cesta"/>
    <d v="2025-04-01T00:00:00"/>
    <n v="849.7"/>
  </r>
  <r>
    <x v="12"/>
    <s v="cesta"/>
    <d v="2025-05-01T00:00:00"/>
    <n v="847.99"/>
  </r>
  <r>
    <x v="12"/>
    <s v="cesta"/>
    <d v="2025-06-01T00:00:00"/>
    <n v="843.27"/>
  </r>
  <r>
    <x v="13"/>
    <s v="cesta"/>
    <d v="2015-01-01T00:00:00"/>
    <n v="299.17"/>
  </r>
  <r>
    <x v="13"/>
    <s v="cesta"/>
    <d v="2015-02-01T00:00:00"/>
    <n v="311.64999999999998"/>
  </r>
  <r>
    <x v="13"/>
    <s v="cesta"/>
    <d v="2015-03-01T00:00:00"/>
    <n v="302.97000000000003"/>
  </r>
  <r>
    <x v="13"/>
    <s v="cesta"/>
    <d v="2015-04-01T00:00:00"/>
    <n v="314.44"/>
  </r>
  <r>
    <x v="13"/>
    <s v="cesta"/>
    <d v="2015-05-01T00:00:00"/>
    <n v="348.04"/>
  </r>
  <r>
    <x v="13"/>
    <s v="cesta"/>
    <d v="2015-06-01T00:00:00"/>
    <n v="320.02999999999997"/>
  </r>
  <r>
    <x v="13"/>
    <s v="cesta"/>
    <d v="2015-07-01T00:00:00"/>
    <n v="317.89999999999998"/>
  </r>
  <r>
    <x v="13"/>
    <s v="cesta"/>
    <d v="2015-08-01T00:00:00"/>
    <n v="305.11"/>
  </r>
  <r>
    <x v="13"/>
    <s v="cesta"/>
    <d v="2015-09-01T00:00:00"/>
    <n v="297.07"/>
  </r>
  <r>
    <x v="13"/>
    <s v="cesta"/>
    <d v="2015-10-01T00:00:00"/>
    <n v="297.83"/>
  </r>
  <r>
    <x v="13"/>
    <s v="cesta"/>
    <d v="2015-11-01T00:00:00"/>
    <n v="323.23"/>
  </r>
  <r>
    <x v="13"/>
    <s v="cesta"/>
    <d v="2015-12-01T00:00:00"/>
    <n v="331.2"/>
  </r>
  <r>
    <x v="13"/>
    <s v="cesta"/>
    <d v="2016-01-01T00:00:00"/>
    <n v="349.26"/>
  </r>
  <r>
    <x v="13"/>
    <s v="cesta"/>
    <d v="2016-02-01T00:00:00"/>
    <n v="337.84"/>
  </r>
  <r>
    <x v="13"/>
    <s v="cesta"/>
    <d v="2016-03-01T00:00:00"/>
    <n v="348.71"/>
  </r>
  <r>
    <x v="13"/>
    <s v="cesta"/>
    <d v="2016-04-01T00:00:00"/>
    <n v="344.29"/>
  </r>
  <r>
    <x v="13"/>
    <s v="cesta"/>
    <d v="2016-05-01T00:00:00"/>
    <n v="354.12"/>
  </r>
  <r>
    <x v="13"/>
    <s v="cesta"/>
    <d v="2016-06-01T00:00:00"/>
    <n v="365.77"/>
  </r>
  <r>
    <x v="13"/>
    <s v="cesta"/>
    <d v="2016-07-01T00:00:00"/>
    <n v="380.03"/>
  </r>
  <r>
    <x v="13"/>
    <s v="cesta"/>
    <d v="2016-08-01T00:00:00"/>
    <n v="376.45"/>
  </r>
  <r>
    <x v="13"/>
    <s v="cesta"/>
    <d v="2016-09-01T00:00:00"/>
    <n v="381.93"/>
  </r>
  <r>
    <x v="13"/>
    <s v="cesta"/>
    <d v="2016-10-01T00:00:00"/>
    <n v="375.6"/>
  </r>
  <r>
    <x v="13"/>
    <s v="cesta"/>
    <d v="2016-11-01T00:00:00"/>
    <n v="358.77"/>
  </r>
  <r>
    <x v="13"/>
    <s v="cesta"/>
    <d v="2016-12-01T00:00:00"/>
    <n v="355.15"/>
  </r>
  <r>
    <x v="13"/>
    <s v="cesta"/>
    <d v="2017-01-01T00:00:00"/>
    <n v="359.75"/>
  </r>
  <r>
    <x v="13"/>
    <s v="cesta"/>
    <d v="2017-02-01T00:00:00"/>
    <n v="349.4"/>
  </r>
  <r>
    <x v="13"/>
    <s v="cesta"/>
    <d v="2017-03-01T00:00:00"/>
    <n v="349.66"/>
  </r>
  <r>
    <x v="13"/>
    <s v="cesta"/>
    <d v="2017-04-01T00:00:00"/>
    <n v="366.63"/>
  </r>
  <r>
    <x v="13"/>
    <s v="cesta"/>
    <d v="2017-05-01T00:00:00"/>
    <n v="351.31"/>
  </r>
  <r>
    <x v="13"/>
    <s v="cesta"/>
    <d v="2017-06-01T00:00:00"/>
    <n v="350.22"/>
  </r>
  <r>
    <x v="13"/>
    <s v="cesta"/>
    <d v="2017-07-01T00:00:00"/>
    <n v="357.28"/>
  </r>
  <r>
    <x v="13"/>
    <s v="cesta"/>
    <d v="2017-08-01T00:00:00"/>
    <n v="332.1"/>
  </r>
  <r>
    <x v="13"/>
    <s v="cesta"/>
    <d v="2017-09-01T00:00:00"/>
    <n v="318.52"/>
  </r>
  <r>
    <x v="13"/>
    <s v="cesta"/>
    <d v="2017-10-01T00:00:00"/>
    <n v="318.31"/>
  </r>
  <r>
    <x v="13"/>
    <s v="cesta"/>
    <d v="2017-11-01T00:00:00"/>
    <n v="315.98"/>
  </r>
  <r>
    <x v="13"/>
    <s v="cesta"/>
    <d v="2017-12-01T00:00:00"/>
    <n v="316.64999999999998"/>
  </r>
  <r>
    <x v="13"/>
    <s v="cesta"/>
    <d v="2018-01-01T00:00:00"/>
    <n v="333.98"/>
  </r>
  <r>
    <x v="13"/>
    <s v="cesta"/>
    <d v="2018-02-01T00:00:00"/>
    <n v="336.59"/>
  </r>
  <r>
    <x v="13"/>
    <s v="cesta"/>
    <d v="2018-03-01T00:00:00"/>
    <n v="322.86"/>
  </r>
  <r>
    <x v="13"/>
    <s v="cesta"/>
    <d v="2018-04-01T00:00:00"/>
    <n v="325.42"/>
  </r>
  <r>
    <x v="13"/>
    <s v="cesta"/>
    <d v="2018-05-01T00:00:00"/>
    <n v="327.56"/>
  </r>
  <r>
    <x v="13"/>
    <s v="cesta"/>
    <d v="2018-06-01T00:00:00"/>
    <n v="333"/>
  </r>
  <r>
    <x v="13"/>
    <s v="cesta"/>
    <d v="2018-07-01T00:00:00"/>
    <n v="321.62"/>
  </r>
  <r>
    <x v="13"/>
    <s v="cesta"/>
    <d v="2018-08-01T00:00:00"/>
    <n v="311.92"/>
  </r>
  <r>
    <x v="13"/>
    <s v="cesta"/>
    <d v="2018-09-01T00:00:00"/>
    <n v="315.86"/>
  </r>
  <r>
    <x v="13"/>
    <s v="cesta"/>
    <d v="2018-10-01T00:00:00"/>
    <n v="331.02"/>
  </r>
  <r>
    <x v="13"/>
    <s v="cesta"/>
    <d v="2018-11-01T00:00:00"/>
    <n v="330.17"/>
  </r>
  <r>
    <x v="13"/>
    <s v="cesta"/>
    <d v="2018-12-01T00:00:00"/>
    <n v="343.82"/>
  </r>
  <r>
    <x v="13"/>
    <s v="cesta"/>
    <d v="2019-01-01T00:00:00"/>
    <n v="353.43"/>
  </r>
  <r>
    <x v="13"/>
    <s v="cesta"/>
    <d v="2019-02-01T00:00:00"/>
    <n v="362.93"/>
  </r>
  <r>
    <x v="13"/>
    <s v="cesta"/>
    <d v="2019-03-01T00:00:00"/>
    <n v="382.35"/>
  </r>
  <r>
    <x v="13"/>
    <s v="cesta"/>
    <d v="2019-04-01T00:00:00"/>
    <n v="396.75"/>
  </r>
  <r>
    <x v="13"/>
    <s v="cesta"/>
    <d v="2019-05-01T00:00:00"/>
    <n v="392.97"/>
  </r>
  <r>
    <x v="13"/>
    <s v="cesta"/>
    <d v="2019-06-01T00:00:00"/>
    <n v="384.76"/>
  </r>
  <r>
    <x v="13"/>
    <s v="cesta"/>
    <d v="2019-07-01T00:00:00"/>
    <n v="372.25"/>
  </r>
  <r>
    <x v="13"/>
    <s v="cesta"/>
    <d v="2019-08-01T00:00:00"/>
    <n v="350.75"/>
  </r>
  <r>
    <x v="13"/>
    <s v="cesta"/>
    <d v="2019-09-01T00:00:00"/>
    <n v="345.04"/>
  </r>
  <r>
    <x v="13"/>
    <s v="cesta"/>
    <d v="2019-10-01T00:00:00"/>
    <n v="347.65"/>
  </r>
  <r>
    <x v="13"/>
    <s v="cesta"/>
    <d v="2019-11-01T00:00:00"/>
    <n v="341.45"/>
  </r>
  <r>
    <x v="13"/>
    <s v="cesta"/>
    <d v="2019-12-01T00:00:00"/>
    <n v="360.51"/>
  </r>
  <r>
    <x v="13"/>
    <s v="cesta"/>
    <d v="2020-01-01T00:00:00"/>
    <n v="376.49"/>
  </r>
  <r>
    <x v="13"/>
    <s v="cesta"/>
    <d v="2020-02-01T00:00:00"/>
    <n v="395.49"/>
  </r>
  <r>
    <x v="13"/>
    <s v="cesta"/>
    <d v="2020-03-01T00:00:00"/>
    <n v="408.06"/>
  </r>
  <r>
    <x v="13"/>
    <s v="cesta"/>
    <d v="2020-04-01T00:00:00"/>
    <n v="425.12"/>
  </r>
  <r>
    <x v="13"/>
    <s v="cesta"/>
    <d v="2020-05-01T00:00:00"/>
    <n v="410.33"/>
  </r>
  <r>
    <x v="13"/>
    <s v="cesta"/>
    <d v="2020-06-01T00:00:00"/>
    <n v="419.18"/>
  </r>
  <r>
    <x v="13"/>
    <s v="cesta"/>
    <d v="2020-07-01T00:00:00"/>
    <n v="415.22"/>
  </r>
  <r>
    <x v="13"/>
    <s v="cesta"/>
    <d v="2020-08-01T00:00:00"/>
    <n v="418.72"/>
  </r>
  <r>
    <x v="13"/>
    <s v="cesta"/>
    <d v="2020-09-01T00:00:00"/>
    <n v="459.33"/>
  </r>
  <r>
    <x v="13"/>
    <s v="cesta"/>
    <d v="2020-10-01T00:00:00"/>
    <n v="454.5"/>
  </r>
  <r>
    <x v="13"/>
    <s v="cesta"/>
    <d v="2020-11-01T00:00:00"/>
    <n v="488.1"/>
  </r>
  <r>
    <x v="13"/>
    <s v="cesta"/>
    <d v="2020-12-01T00:00:00"/>
    <n v="479.08"/>
  </r>
  <r>
    <x v="13"/>
    <s v="cesta"/>
    <d v="2021-01-01T00:00:00"/>
    <n v="488.94"/>
  </r>
  <r>
    <x v="13"/>
    <s v="cesta"/>
    <d v="2021-02-01T00:00:00"/>
    <n v="479.19"/>
  </r>
  <r>
    <x v="13"/>
    <s v="cesta"/>
    <d v="2021-03-01T00:00:00"/>
    <n v="461.28"/>
  </r>
  <r>
    <x v="13"/>
    <s v="cesta"/>
    <d v="2021-04-01T00:00:00"/>
    <n v="457.56"/>
  </r>
  <r>
    <x v="13"/>
    <s v="cesta"/>
    <d v="2021-05-01T00:00:00"/>
    <n v="470.14"/>
  </r>
  <r>
    <x v="13"/>
    <s v="cesta"/>
    <d v="2021-06-01T00:00:00"/>
    <n v="467.3"/>
  </r>
  <r>
    <x v="13"/>
    <s v="cesta"/>
    <d v="2021-07-01T00:00:00"/>
    <n v="482.58"/>
  </r>
  <r>
    <x v="13"/>
    <s v="cesta"/>
    <d v="2021-08-01T00:00:00"/>
    <n v="485.44"/>
  </r>
  <r>
    <x v="13"/>
    <s v="cesta"/>
    <d v="2021-09-01T00:00:00"/>
    <n v="478.86"/>
  </r>
  <r>
    <x v="13"/>
    <s v="cesta"/>
    <d v="2021-10-01T00:00:00"/>
    <n v="487.59"/>
  </r>
  <r>
    <x v="13"/>
    <s v="cesta"/>
    <d v="2021-11-01T00:00:00"/>
    <n v="505.94"/>
  </r>
  <r>
    <x v="13"/>
    <s v="cesta"/>
    <d v="2021-12-01T00:00:00"/>
    <n v="518.21"/>
  </r>
  <r>
    <x v="13"/>
    <s v="cesta"/>
    <d v="2022-01-01T00:00:00"/>
    <n v="540.01"/>
  </r>
  <r>
    <x v="13"/>
    <s v="cesta"/>
    <d v="2022-02-01T00:00:00"/>
    <n v="552.29999999999995"/>
  </r>
  <r>
    <x v="13"/>
    <s v="cesta"/>
    <d v="2022-03-01T00:00:00"/>
    <n v="560.39"/>
  </r>
  <r>
    <x v="13"/>
    <s v="cesta"/>
    <d v="2022-04-01T00:00:00"/>
    <n v="575.84"/>
  </r>
  <r>
    <x v="13"/>
    <s v="cesta"/>
    <d v="2022-05-01T00:00:00"/>
    <n v="578.88"/>
  </r>
  <r>
    <x v="13"/>
    <s v="cesta"/>
    <d v="2022-06-01T00:00:00"/>
    <n v="580.82000000000005"/>
  </r>
  <r>
    <x v="13"/>
    <s v="cesta"/>
    <d v="2022-07-01T00:00:00"/>
    <n v="586.54"/>
  </r>
  <r>
    <x v="13"/>
    <s v="cesta"/>
    <d v="2022-08-01T00:00:00"/>
    <n v="576.92999999999995"/>
  </r>
  <r>
    <x v="13"/>
    <s v="cesta"/>
    <d v="2022-09-01T00:00:00"/>
    <n v="560.30999999999995"/>
  </r>
  <r>
    <x v="13"/>
    <s v="cesta"/>
    <d v="2022-10-01T00:00:00"/>
    <n v="562.59"/>
  </r>
  <r>
    <x v="13"/>
    <s v="cesta"/>
    <d v="2022-11-01T00:00:00"/>
    <n v="550.66999999999996"/>
  </r>
  <r>
    <x v="13"/>
    <s v="cesta"/>
    <d v="2022-12-01T00:00:00"/>
    <n v="570.70000000000005"/>
  </r>
  <r>
    <x v="13"/>
    <s v="cesta"/>
    <d v="2023-01-01T00:00:00"/>
    <n v="594.83000000000004"/>
  </r>
  <r>
    <x v="13"/>
    <s v="cesta"/>
    <d v="2023-02-01T00:00:00"/>
    <n v="596.88"/>
  </r>
  <r>
    <x v="13"/>
    <s v="cesta"/>
    <d v="2023-03-01T00:00:00"/>
    <n v="591.4"/>
  </r>
  <r>
    <x v="13"/>
    <s v="cesta"/>
    <d v="2023-04-01T00:00:00"/>
    <n v="585.99"/>
  </r>
  <r>
    <x v="13"/>
    <s v="cesta"/>
    <d v="2023-05-01T00:00:00"/>
    <n v="594.32000000000005"/>
  </r>
  <r>
    <x v="13"/>
    <s v="cesta"/>
    <d v="2023-06-01T00:00:00"/>
    <n v="595.84"/>
  </r>
  <r>
    <x v="13"/>
    <s v="cesta"/>
    <d v="2023-07-01T00:00:00"/>
    <n v="596.04"/>
  </r>
  <r>
    <x v="13"/>
    <s v="cesta"/>
    <d v="2023-08-01T00:00:00"/>
    <n v="575.80999999999995"/>
  </r>
  <r>
    <x v="13"/>
    <s v="cesta"/>
    <d v="2023-09-01T00:00:00"/>
    <n v="571.01"/>
  </r>
  <r>
    <x v="13"/>
    <s v="cesta"/>
    <d v="2023-10-01T00:00:00"/>
    <n v="563.1"/>
  </r>
  <r>
    <x v="13"/>
    <s v="cesta"/>
    <d v="2023-11-01T00:00:00"/>
    <n v="550.86"/>
  </r>
  <r>
    <x v="13"/>
    <s v="cesta"/>
    <d v="2023-12-01T00:00:00"/>
    <n v="560.80999999999995"/>
  </r>
  <r>
    <x v="13"/>
    <s v="cesta"/>
    <d v="2024-01-01T00:00:00"/>
    <n v="593.26"/>
  </r>
  <r>
    <x v="13"/>
    <s v="cesta"/>
    <d v="2024-02-01T00:00:00"/>
    <n v="604.29999999999995"/>
  </r>
  <r>
    <x v="13"/>
    <s v="cesta"/>
    <d v="2024-03-01T00:00:00"/>
    <n v="620.13"/>
  </r>
  <r>
    <x v="13"/>
    <s v="cesta"/>
    <d v="2024-04-01T00:00:00"/>
    <n v="640.12"/>
  </r>
  <r>
    <x v="13"/>
    <s v="cesta"/>
    <d v="2024-05-01T00:00:00"/>
    <n v="623.04999999999995"/>
  </r>
  <r>
    <x v="13"/>
    <s v="cesta"/>
    <d v="2024-06-01T00:00:00"/>
    <n v="613.22"/>
  </r>
  <r>
    <x v="13"/>
    <s v="cesta"/>
    <d v="2024-07-01T00:00:00"/>
    <n v="579.75"/>
  </r>
  <r>
    <x v="13"/>
    <s v="cesta"/>
    <d v="2024-08-01T00:00:00"/>
    <n v="560.72"/>
  </r>
  <r>
    <x v="13"/>
    <s v="cesta"/>
    <d v="2024-09-01T00:00:00"/>
    <n v="553.62"/>
  </r>
  <r>
    <x v="13"/>
    <s v="cesta"/>
    <d v="2024-10-01T00:00:00"/>
    <n v="560.65"/>
  </r>
  <r>
    <x v="13"/>
    <s v="cesta"/>
    <d v="2024-11-01T00:00:00"/>
    <n v="574.78"/>
  </r>
  <r>
    <x v="13"/>
    <s v="cesta"/>
    <d v="2024-12-01T00:00:00"/>
    <n v="583.89"/>
  </r>
  <r>
    <x v="13"/>
    <s v="cesta"/>
    <d v="2025-01-01T00:00:00"/>
    <n v="620.23"/>
  </r>
  <r>
    <x v="13"/>
    <s v="cesta"/>
    <d v="2025-02-01T00:00:00"/>
    <n v="628.79999999999995"/>
  </r>
  <r>
    <x v="13"/>
    <s v="cesta"/>
    <d v="2025-03-01T00:00:00"/>
    <n v="633.58000000000004"/>
  </r>
  <r>
    <x v="13"/>
    <s v="cesta"/>
    <d v="2025-04-01T00:00:00"/>
    <n v="632.12"/>
  </r>
  <r>
    <x v="13"/>
    <s v="cesta"/>
    <d v="2025-05-01T00:00:00"/>
    <n v="628.97"/>
  </r>
  <r>
    <x v="13"/>
    <s v="cesta"/>
    <d v="2025-06-01T00:00:00"/>
    <n v="623.85"/>
  </r>
  <r>
    <x v="14"/>
    <s v="cesta"/>
    <d v="2015-01-01T00:00:00"/>
    <n v="371.22"/>
  </r>
  <r>
    <x v="14"/>
    <s v="cesta"/>
    <d v="2015-02-01T00:00:00"/>
    <n v="378.86"/>
  </r>
  <r>
    <x v="14"/>
    <s v="cesta"/>
    <d v="2015-03-01T00:00:00"/>
    <n v="379.35"/>
  </r>
  <r>
    <x v="14"/>
    <s v="cesta"/>
    <d v="2015-04-01T00:00:00"/>
    <n v="387.05"/>
  </r>
  <r>
    <x v="14"/>
    <s v="cesta"/>
    <d v="2015-05-01T00:00:00"/>
    <n v="402.05"/>
  </r>
  <r>
    <x v="14"/>
    <s v="cesta"/>
    <d v="2015-06-01T00:00:00"/>
    <n v="392.77"/>
  </r>
  <r>
    <x v="14"/>
    <s v="cesta"/>
    <d v="2015-07-01T00:00:00"/>
    <n v="395.83"/>
  </r>
  <r>
    <x v="14"/>
    <s v="cesta"/>
    <d v="2015-08-01T00:00:00"/>
    <n v="386.04"/>
  </r>
  <r>
    <x v="14"/>
    <s v="cesta"/>
    <d v="2015-09-01T00:00:00"/>
    <n v="383.21"/>
  </r>
  <r>
    <x v="14"/>
    <s v="cesta"/>
    <d v="2015-10-01T00:00:00"/>
    <n v="382.13"/>
  </r>
  <r>
    <x v="14"/>
    <s v="cesta"/>
    <d v="2015-11-01T00:00:00"/>
    <n v="399.21"/>
  </r>
  <r>
    <x v="14"/>
    <s v="cesta"/>
    <d v="2015-12-01T00:00:00"/>
    <n v="412.12"/>
  </r>
  <r>
    <x v="14"/>
    <s v="cesta"/>
    <d v="2016-01-01T00:00:00"/>
    <n v="448.31"/>
  </r>
  <r>
    <x v="14"/>
    <s v="cesta"/>
    <d v="2016-02-01T00:00:00"/>
    <n v="443.4"/>
  </r>
  <r>
    <x v="14"/>
    <s v="cesta"/>
    <d v="2016-03-01T00:00:00"/>
    <n v="444.11"/>
  </r>
  <r>
    <x v="14"/>
    <s v="cesta"/>
    <d v="2016-04-01T00:00:00"/>
    <n v="442.42"/>
  </r>
  <r>
    <x v="14"/>
    <s v="cesta"/>
    <d v="2016-05-01T00:00:00"/>
    <n v="449.7"/>
  </r>
  <r>
    <x v="14"/>
    <s v="cesta"/>
    <d v="2016-06-01T00:00:00"/>
    <n v="469.02"/>
  </r>
  <r>
    <x v="14"/>
    <s v="cesta"/>
    <d v="2016-07-01T00:00:00"/>
    <n v="475.27"/>
  </r>
  <r>
    <x v="14"/>
    <s v="cesta"/>
    <d v="2016-08-01T00:00:00"/>
    <n v="475.11"/>
  </r>
  <r>
    <x v="14"/>
    <s v="cesta"/>
    <d v="2016-09-01T00:00:00"/>
    <n v="471.57"/>
  </r>
  <r>
    <x v="14"/>
    <s v="cesta"/>
    <d v="2016-10-01T00:00:00"/>
    <n v="469.55"/>
  </r>
  <r>
    <x v="14"/>
    <s v="cesta"/>
    <d v="2016-11-01T00:00:00"/>
    <n v="450.39"/>
  </r>
  <r>
    <x v="14"/>
    <s v="cesta"/>
    <d v="2016-12-01T00:00:00"/>
    <n v="438.89"/>
  </r>
  <r>
    <x v="14"/>
    <s v="cesta"/>
    <d v="2017-01-01T00:00:00"/>
    <n v="435.89"/>
  </r>
  <r>
    <x v="14"/>
    <s v="cesta"/>
    <d v="2017-02-01T00:00:00"/>
    <n v="426.22"/>
  </r>
  <r>
    <x v="14"/>
    <s v="cesta"/>
    <d v="2017-03-01T00:00:00"/>
    <n v="435.34"/>
  </r>
  <r>
    <x v="14"/>
    <s v="cesta"/>
    <d v="2017-04-01T00:00:00"/>
    <n v="446.28"/>
  </r>
  <r>
    <x v="14"/>
    <s v="cesta"/>
    <d v="2017-05-01T00:00:00"/>
    <n v="458.93"/>
  </r>
  <r>
    <x v="14"/>
    <s v="cesta"/>
    <d v="2017-06-01T00:00:00"/>
    <n v="441.61"/>
  </r>
  <r>
    <x v="14"/>
    <s v="cesta"/>
    <d v="2017-07-01T00:00:00"/>
    <n v="445.83"/>
  </r>
  <r>
    <x v="14"/>
    <s v="cesta"/>
    <d v="2017-08-01T00:00:00"/>
    <n v="431.66"/>
  </r>
  <r>
    <x v="14"/>
    <s v="cesta"/>
    <d v="2017-09-01T00:00:00"/>
    <n v="421.02"/>
  </r>
  <r>
    <x v="14"/>
    <s v="cesta"/>
    <d v="2017-10-01T00:00:00"/>
    <n v="428.13"/>
  </r>
  <r>
    <x v="14"/>
    <s v="cesta"/>
    <d v="2017-11-01T00:00:00"/>
    <n v="423.23"/>
  </r>
  <r>
    <x v="14"/>
    <s v="cesta"/>
    <d v="2017-12-01T00:00:00"/>
    <n v="424.36"/>
  </r>
  <r>
    <x v="14"/>
    <s v="cesta"/>
    <d v="2018-01-01T00:00:00"/>
    <n v="439.2"/>
  </r>
  <r>
    <x v="14"/>
    <s v="cesta"/>
    <d v="2018-02-01T00:00:00"/>
    <n v="437.33"/>
  </r>
  <r>
    <x v="14"/>
    <s v="cesta"/>
    <d v="2018-03-01T00:00:00"/>
    <n v="437.84"/>
  </r>
  <r>
    <x v="14"/>
    <s v="cesta"/>
    <d v="2018-04-01T00:00:00"/>
    <n v="434.8"/>
  </r>
  <r>
    <x v="14"/>
    <s v="cesta"/>
    <d v="2018-05-01T00:00:00"/>
    <n v="441.16"/>
  </r>
  <r>
    <x v="14"/>
    <s v="cesta"/>
    <d v="2018-06-01T00:00:00"/>
    <n v="451.63"/>
  </r>
  <r>
    <x v="14"/>
    <s v="cesta"/>
    <d v="2018-07-01T00:00:00"/>
    <n v="437.42"/>
  </r>
  <r>
    <x v="14"/>
    <s v="cesta"/>
    <d v="2018-08-01T00:00:00"/>
    <n v="432.81"/>
  </r>
  <r>
    <x v="14"/>
    <s v="cesta"/>
    <d v="2018-09-01T00:00:00"/>
    <n v="432.83"/>
  </r>
  <r>
    <x v="14"/>
    <s v="cesta"/>
    <d v="2018-10-01T00:00:00"/>
    <n v="446.02"/>
  </r>
  <r>
    <x v="14"/>
    <s v="cesta"/>
    <d v="2018-11-01T00:00:00"/>
    <n v="471.37"/>
  </r>
  <r>
    <x v="14"/>
    <s v="cesta"/>
    <d v="2018-12-01T00:00:00"/>
    <n v="471.44"/>
  </r>
  <r>
    <x v="14"/>
    <s v="cesta"/>
    <d v="2019-01-01T00:00:00"/>
    <n v="467.65"/>
  </r>
  <r>
    <x v="14"/>
    <s v="cesta"/>
    <d v="2019-02-01T00:00:00"/>
    <n v="482.4"/>
  </r>
  <r>
    <x v="14"/>
    <s v="cesta"/>
    <d v="2019-03-01T00:00:00"/>
    <n v="509.11"/>
  </r>
  <r>
    <x v="14"/>
    <s v="cesta"/>
    <d v="2019-04-01T00:00:00"/>
    <n v="522.04999999999995"/>
  </r>
  <r>
    <x v="14"/>
    <s v="cesta"/>
    <d v="2019-05-01T00:00:00"/>
    <n v="507.07"/>
  </r>
  <r>
    <x v="14"/>
    <s v="cesta"/>
    <d v="2019-06-01T00:00:00"/>
    <n v="501.68"/>
  </r>
  <r>
    <x v="14"/>
    <s v="cesta"/>
    <d v="2019-07-01T00:00:00"/>
    <n v="493.16"/>
  </r>
  <r>
    <x v="14"/>
    <s v="cesta"/>
    <d v="2019-08-01T00:00:00"/>
    <n v="481.44"/>
  </r>
  <r>
    <x v="14"/>
    <s v="cesta"/>
    <d v="2019-09-01T00:00:00"/>
    <n v="473.85"/>
  </r>
  <r>
    <x v="14"/>
    <s v="cesta"/>
    <d v="2019-10-01T00:00:00"/>
    <n v="473.59"/>
  </r>
  <r>
    <x v="14"/>
    <s v="cesta"/>
    <d v="2019-11-01T00:00:00"/>
    <n v="465.81"/>
  </r>
  <r>
    <x v="14"/>
    <s v="cesta"/>
    <d v="2019-12-01T00:00:00"/>
    <n v="506.5"/>
  </r>
  <r>
    <x v="14"/>
    <s v="cesta"/>
    <d v="2020-01-01T00:00:00"/>
    <n v="517.51"/>
  </r>
  <r>
    <x v="14"/>
    <s v="cesta"/>
    <d v="2020-02-01T00:00:00"/>
    <n v="519.76"/>
  </r>
  <r>
    <x v="14"/>
    <s v="cesta"/>
    <d v="2020-03-01T00:00:00"/>
    <n v="518.5"/>
  </r>
  <r>
    <x v="14"/>
    <s v="cesta"/>
    <d v="2020-04-01T00:00:00"/>
    <n v="556.25"/>
  </r>
  <r>
    <x v="14"/>
    <s v="cesta"/>
    <d v="2020-05-01T00:00:00"/>
    <n v="556.36"/>
  </r>
  <r>
    <x v="14"/>
    <s v="cesta"/>
    <d v="2020-06-01T00:00:00"/>
    <n v="547.03"/>
  </r>
  <r>
    <x v="14"/>
    <s v="cesta"/>
    <d v="2020-07-01T00:00:00"/>
    <n v="524.74"/>
  </r>
  <r>
    <x v="14"/>
    <s v="cesta"/>
    <d v="2020-08-01T00:00:00"/>
    <n v="539.95000000000005"/>
  </r>
  <r>
    <x v="14"/>
    <s v="cesta"/>
    <d v="2020-09-01T00:00:00"/>
    <n v="563.35"/>
  </r>
  <r>
    <x v="14"/>
    <s v="cesta"/>
    <d v="2020-10-01T00:00:00"/>
    <n v="595.87"/>
  </r>
  <r>
    <x v="14"/>
    <s v="cesta"/>
    <d v="2020-11-01T00:00:00"/>
    <n v="629.17999999999995"/>
  </r>
  <r>
    <x v="14"/>
    <s v="cesta"/>
    <d v="2020-12-01T00:00:00"/>
    <n v="631.46"/>
  </r>
  <r>
    <x v="14"/>
    <s v="cesta"/>
    <d v="2021-01-01T00:00:00"/>
    <n v="654.15"/>
  </r>
  <r>
    <x v="14"/>
    <s v="cesta"/>
    <d v="2021-02-01T00:00:00"/>
    <n v="639.47"/>
  </r>
  <r>
    <x v="14"/>
    <s v="cesta"/>
    <d v="2021-03-01T00:00:00"/>
    <n v="626"/>
  </r>
  <r>
    <x v="14"/>
    <s v="cesta"/>
    <d v="2021-04-01T00:00:00"/>
    <n v="632.61"/>
  </r>
  <r>
    <x v="14"/>
    <s v="cesta"/>
    <d v="2021-05-01T00:00:00"/>
    <n v="636.4"/>
  </r>
  <r>
    <x v="14"/>
    <s v="cesta"/>
    <d v="2021-06-01T00:00:00"/>
    <n v="626.76"/>
  </r>
  <r>
    <x v="14"/>
    <s v="cesta"/>
    <d v="2021-07-01T00:00:00"/>
    <n v="640.51"/>
  </r>
  <r>
    <x v="14"/>
    <s v="cesta"/>
    <d v="2021-08-01T00:00:00"/>
    <n v="650.5"/>
  </r>
  <r>
    <x v="14"/>
    <s v="cesta"/>
    <d v="2021-09-01T00:00:00"/>
    <n v="673.45"/>
  </r>
  <r>
    <x v="14"/>
    <s v="cesta"/>
    <d v="2021-10-01T00:00:00"/>
    <n v="693.79"/>
  </r>
  <r>
    <x v="14"/>
    <s v="cesta"/>
    <d v="2021-11-01T00:00:00"/>
    <n v="692.27"/>
  </r>
  <r>
    <x v="14"/>
    <s v="cesta"/>
    <d v="2021-12-01T00:00:00"/>
    <n v="690.51"/>
  </r>
  <r>
    <x v="14"/>
    <s v="cesta"/>
    <d v="2022-01-01T00:00:00"/>
    <n v="713.86"/>
  </r>
  <r>
    <x v="14"/>
    <s v="cesta"/>
    <d v="2022-02-01T00:00:00"/>
    <n v="715.65"/>
  </r>
  <r>
    <x v="14"/>
    <s v="cesta"/>
    <d v="2022-03-01T00:00:00"/>
    <n v="761.19"/>
  </r>
  <r>
    <x v="14"/>
    <s v="cesta"/>
    <d v="2022-04-01T00:00:00"/>
    <n v="803.99"/>
  </r>
  <r>
    <x v="14"/>
    <s v="cesta"/>
    <d v="2022-05-01T00:00:00"/>
    <n v="777.93"/>
  </r>
  <r>
    <x v="14"/>
    <s v="cesta"/>
    <d v="2022-06-01T00:00:00"/>
    <n v="777.01"/>
  </r>
  <r>
    <x v="14"/>
    <s v="cesta"/>
    <d v="2022-07-01T00:00:00"/>
    <n v="760.45"/>
  </r>
  <r>
    <x v="14"/>
    <s v="cesta"/>
    <d v="2022-08-01T00:00:00"/>
    <n v="749.78"/>
  </r>
  <r>
    <x v="14"/>
    <s v="cesta"/>
    <d v="2022-09-01T00:00:00"/>
    <n v="750.74"/>
  </r>
  <r>
    <x v="14"/>
    <s v="cesta"/>
    <d v="2022-10-01T00:00:00"/>
    <n v="762.2"/>
  </r>
  <r>
    <x v="14"/>
    <s v="cesta"/>
    <d v="2022-11-01T00:00:00"/>
    <n v="782.68"/>
  </r>
  <r>
    <x v="14"/>
    <s v="cesta"/>
    <d v="2022-12-01T00:00:00"/>
    <n v="791.29"/>
  </r>
  <r>
    <x v="14"/>
    <s v="cesta"/>
    <d v="2023-01-01T00:00:00"/>
    <n v="790.57"/>
  </r>
  <r>
    <x v="14"/>
    <s v="cesta"/>
    <d v="2023-02-01T00:00:00"/>
    <n v="779.38"/>
  </r>
  <r>
    <x v="14"/>
    <s v="cesta"/>
    <d v="2023-03-01T00:00:00"/>
    <n v="782.23"/>
  </r>
  <r>
    <x v="14"/>
    <s v="cesta"/>
    <d v="2023-04-01T00:00:00"/>
    <n v="794.68"/>
  </r>
  <r>
    <x v="14"/>
    <s v="cesta"/>
    <d v="2023-05-01T00:00:00"/>
    <n v="791.82"/>
  </r>
  <r>
    <x v="14"/>
    <s v="cesta"/>
    <d v="2023-06-01T00:00:00"/>
    <n v="783.05"/>
  </r>
  <r>
    <x v="14"/>
    <s v="cesta"/>
    <d v="2023-07-01T00:00:00"/>
    <n v="769.95"/>
  </r>
  <r>
    <x v="14"/>
    <s v="cesta"/>
    <d v="2023-08-01T00:00:00"/>
    <n v="748.47"/>
  </r>
  <r>
    <x v="14"/>
    <s v="cesta"/>
    <d v="2023-09-01T00:00:00"/>
    <n v="734.77"/>
  </r>
  <r>
    <x v="14"/>
    <s v="cesta"/>
    <d v="2023-10-01T00:00:00"/>
    <n v="738.13"/>
  </r>
  <r>
    <x v="14"/>
    <s v="cesta"/>
    <d v="2023-11-01T00:00:00"/>
    <n v="749.28"/>
  </r>
  <r>
    <x v="14"/>
    <s v="cesta"/>
    <d v="2023-12-01T00:00:00"/>
    <n v="761.01"/>
  </r>
  <r>
    <x v="14"/>
    <s v="cesta"/>
    <d v="2024-01-01T00:00:00"/>
    <n v="793.39"/>
  </r>
  <r>
    <x v="14"/>
    <s v="cesta"/>
    <d v="2024-02-01T00:00:00"/>
    <n v="808.38"/>
  </r>
  <r>
    <x v="14"/>
    <s v="cesta"/>
    <d v="2024-03-01T00:00:00"/>
    <n v="813.26"/>
  </r>
  <r>
    <x v="14"/>
    <s v="cesta"/>
    <d v="2024-04-01T00:00:00"/>
    <n v="822.84"/>
  </r>
  <r>
    <x v="14"/>
    <s v="cesta"/>
    <d v="2024-05-01T00:00:00"/>
    <n v="826.85"/>
  </r>
  <r>
    <x v="14"/>
    <s v="cesta"/>
    <d v="2024-06-01T00:00:00"/>
    <n v="832.69"/>
  </r>
  <r>
    <x v="14"/>
    <s v="cesta"/>
    <d v="2024-07-01T00:00:00"/>
    <n v="809.77"/>
  </r>
  <r>
    <x v="14"/>
    <s v="cesta"/>
    <d v="2024-08-01T00:00:00"/>
    <n v="786.35"/>
  </r>
  <r>
    <x v="14"/>
    <s v="cesta"/>
    <d v="2024-09-01T00:00:00"/>
    <n v="792.47"/>
  </r>
  <r>
    <x v="14"/>
    <s v="cesta"/>
    <d v="2024-10-01T00:00:00"/>
    <n v="805.84"/>
  </r>
  <r>
    <x v="14"/>
    <s v="cesta"/>
    <d v="2024-11-01T00:00:00"/>
    <n v="828.39"/>
  </r>
  <r>
    <x v="14"/>
    <s v="cesta"/>
    <d v="2024-12-01T00:00:00"/>
    <n v="841.29"/>
  </r>
  <r>
    <x v="14"/>
    <s v="cesta"/>
    <d v="2025-01-01T00:00:00"/>
    <n v="851.82"/>
  </r>
  <r>
    <x v="14"/>
    <s v="cesta"/>
    <d v="2025-02-01T00:00:00"/>
    <n v="860.53"/>
  </r>
  <r>
    <x v="14"/>
    <s v="cesta"/>
    <d v="2025-03-01T00:00:00"/>
    <n v="880.72"/>
  </r>
  <r>
    <x v="14"/>
    <s v="cesta"/>
    <d v="2025-04-01T00:00:00"/>
    <n v="909.25"/>
  </r>
  <r>
    <x v="14"/>
    <s v="cesta"/>
    <d v="2025-05-01T00:00:00"/>
    <n v="896.15"/>
  </r>
  <r>
    <x v="14"/>
    <s v="cesta"/>
    <d v="2025-06-01T00:00:00"/>
    <n v="882.76"/>
  </r>
  <r>
    <x v="15"/>
    <s v="cesta"/>
    <d v="2015-01-01T00:00:00"/>
    <n v="348.3"/>
  </r>
  <r>
    <x v="15"/>
    <s v="cesta"/>
    <d v="2015-02-01T00:00:00"/>
    <n v="354.85"/>
  </r>
  <r>
    <x v="15"/>
    <s v="cesta"/>
    <d v="2015-03-01T00:00:00"/>
    <n v="363.62"/>
  </r>
  <r>
    <x v="15"/>
    <s v="cesta"/>
    <d v="2015-04-01T00:00:00"/>
    <n v="376.46"/>
  </r>
  <r>
    <x v="15"/>
    <s v="cesta"/>
    <d v="2015-05-01T00:00:00"/>
    <n v="387.92"/>
  </r>
  <r>
    <x v="15"/>
    <s v="cesta"/>
    <d v="2015-06-01T00:00:00"/>
    <n v="367.94"/>
  </r>
  <r>
    <x v="15"/>
    <s v="cesta"/>
    <d v="2015-07-01T00:00:00"/>
    <n v="368.01"/>
  </r>
  <r>
    <x v="15"/>
    <s v="cesta"/>
    <d v="2015-08-01T00:00:00"/>
    <n v="358"/>
  </r>
  <r>
    <x v="15"/>
    <s v="cesta"/>
    <d v="2015-09-01T00:00:00"/>
    <n v="361.54"/>
  </r>
  <r>
    <x v="15"/>
    <s v="cesta"/>
    <d v="2015-10-01T00:00:00"/>
    <n v="357.3"/>
  </r>
  <r>
    <x v="15"/>
    <s v="cesta"/>
    <d v="2015-11-01T00:00:00"/>
    <n v="378.91"/>
  </r>
  <r>
    <x v="15"/>
    <s v="cesta"/>
    <d v="2015-12-01T00:00:00"/>
    <n v="384.99"/>
  </r>
  <r>
    <x v="15"/>
    <s v="cesta"/>
    <d v="2016-01-01T00:00:00"/>
    <n v="438.42"/>
  </r>
  <r>
    <x v="15"/>
    <s v="cesta"/>
    <d v="2016-02-01T00:00:00"/>
    <n v="401.38"/>
  </r>
  <r>
    <x v="15"/>
    <s v="cesta"/>
    <d v="2016-03-01T00:00:00"/>
    <n v="418.18"/>
  </r>
  <r>
    <x v="15"/>
    <s v="cesta"/>
    <d v="2016-04-01T00:00:00"/>
    <n v="414.26"/>
  </r>
  <r>
    <x v="15"/>
    <s v="cesta"/>
    <d v="2016-05-01T00:00:00"/>
    <n v="418.96"/>
  </r>
  <r>
    <x v="15"/>
    <s v="cesta"/>
    <d v="2016-06-01T00:00:00"/>
    <n v="428.69"/>
  </r>
  <r>
    <x v="15"/>
    <s v="cesta"/>
    <d v="2016-07-01T00:00:00"/>
    <n v="436.24"/>
  </r>
  <r>
    <x v="15"/>
    <s v="cesta"/>
    <d v="2016-08-01T00:00:00"/>
    <n v="436.53"/>
  </r>
  <r>
    <x v="15"/>
    <s v="cesta"/>
    <d v="2016-09-01T00:00:00"/>
    <n v="435.27"/>
  </r>
  <r>
    <x v="15"/>
    <s v="cesta"/>
    <d v="2016-10-01T00:00:00"/>
    <n v="449.16"/>
  </r>
  <r>
    <x v="15"/>
    <s v="cesta"/>
    <d v="2016-11-01T00:00:00"/>
    <n v="438.85"/>
  </r>
  <r>
    <x v="15"/>
    <s v="cesta"/>
    <d v="2016-12-01T00:00:00"/>
    <n v="426.32"/>
  </r>
  <r>
    <x v="15"/>
    <s v="cesta"/>
    <d v="2017-01-01T00:00:00"/>
    <n v="422.38"/>
  </r>
  <r>
    <x v="15"/>
    <s v="cesta"/>
    <d v="2017-02-01T00:00:00"/>
    <n v="414.03"/>
  </r>
  <r>
    <x v="15"/>
    <s v="cesta"/>
    <d v="2017-03-01T00:00:00"/>
    <n v="415.75"/>
  </r>
  <r>
    <x v="15"/>
    <s v="cesta"/>
    <d v="2017-04-01T00:00:00"/>
    <n v="431.54"/>
  </r>
  <r>
    <x v="15"/>
    <s v="cesta"/>
    <d v="2017-05-01T00:00:00"/>
    <n v="422.03"/>
  </r>
  <r>
    <x v="15"/>
    <s v="cesta"/>
    <d v="2017-06-01T00:00:00"/>
    <n v="404.54"/>
  </r>
  <r>
    <x v="15"/>
    <s v="cesta"/>
    <d v="2017-07-01T00:00:00"/>
    <n v="409.51"/>
  </r>
  <r>
    <x v="15"/>
    <s v="cesta"/>
    <d v="2017-08-01T00:00:00"/>
    <n v="397.89"/>
  </r>
  <r>
    <x v="15"/>
    <s v="cesta"/>
    <d v="2017-09-01T00:00:00"/>
    <n v="391.76"/>
  </r>
  <r>
    <x v="15"/>
    <s v="cesta"/>
    <d v="2017-10-01T00:00:00"/>
    <n v="393.71"/>
  </r>
  <r>
    <x v="15"/>
    <s v="cesta"/>
    <d v="2017-11-01T00:00:00"/>
    <n v="387.93"/>
  </r>
  <r>
    <x v="15"/>
    <s v="cesta"/>
    <d v="2017-12-01T00:00:00"/>
    <n v="385.19"/>
  </r>
  <r>
    <x v="15"/>
    <s v="cesta"/>
    <d v="2018-01-01T00:00:00"/>
    <n v="417.73"/>
  </r>
  <r>
    <x v="15"/>
    <s v="cesta"/>
    <d v="2018-02-01T00:00:00"/>
    <n v="410.84"/>
  </r>
  <r>
    <x v="15"/>
    <s v="cesta"/>
    <d v="2018-03-01T00:00:00"/>
    <n v="410.59"/>
  </r>
  <r>
    <x v="15"/>
    <s v="cesta"/>
    <d v="2018-04-01T00:00:00"/>
    <n v="409.8"/>
  </r>
  <r>
    <x v="15"/>
    <s v="cesta"/>
    <d v="2018-05-01T00:00:00"/>
    <n v="409.95"/>
  </r>
  <r>
    <x v="15"/>
    <s v="cesta"/>
    <d v="2018-06-01T00:00:00"/>
    <n v="413.73"/>
  </r>
  <r>
    <x v="15"/>
    <s v="cesta"/>
    <d v="2018-07-01T00:00:00"/>
    <n v="406.43"/>
  </r>
  <r>
    <x v="15"/>
    <s v="cesta"/>
    <d v="2018-08-01T00:00:00"/>
    <n v="395.7"/>
  </r>
  <r>
    <x v="15"/>
    <s v="cesta"/>
    <d v="2018-09-01T00:00:00"/>
    <n v="395.64"/>
  </r>
  <r>
    <x v="15"/>
    <s v="cesta"/>
    <d v="2018-10-01T00:00:00"/>
    <n v="419.69"/>
  </r>
  <r>
    <x v="15"/>
    <s v="cesta"/>
    <d v="2018-11-01T00:00:00"/>
    <n v="408.55"/>
  </r>
  <r>
    <x v="15"/>
    <s v="cesta"/>
    <d v="2018-12-01T00:00:00"/>
    <n v="403.79"/>
  </r>
  <r>
    <x v="15"/>
    <s v="cesta"/>
    <d v="2019-01-01T00:00:00"/>
    <n v="423.96"/>
  </r>
  <r>
    <x v="15"/>
    <s v="cesta"/>
    <d v="2019-02-01T00:00:00"/>
    <n v="449.54"/>
  </r>
  <r>
    <x v="15"/>
    <s v="cesta"/>
    <d v="2019-03-01T00:00:00"/>
    <n v="475.84"/>
  </r>
  <r>
    <x v="15"/>
    <s v="cesta"/>
    <d v="2019-04-01T00:00:00"/>
    <n v="498.54"/>
  </r>
  <r>
    <x v="15"/>
    <s v="cesta"/>
    <d v="2019-05-01T00:00:00"/>
    <n v="484.84"/>
  </r>
  <r>
    <x v="15"/>
    <s v="cesta"/>
    <d v="2019-06-01T00:00:00"/>
    <n v="485.34"/>
  </r>
  <r>
    <x v="15"/>
    <s v="cesta"/>
    <d v="2019-07-01T00:00:00"/>
    <n v="466.93"/>
  </r>
  <r>
    <x v="15"/>
    <s v="cesta"/>
    <d v="2019-08-01T00:00:00"/>
    <n v="441.5"/>
  </r>
  <r>
    <x v="15"/>
    <s v="cesta"/>
    <d v="2019-09-01T00:00:00"/>
    <n v="429.06"/>
  </r>
  <r>
    <x v="15"/>
    <s v="cesta"/>
    <d v="2019-10-01T00:00:00"/>
    <n v="428.25"/>
  </r>
  <r>
    <x v="15"/>
    <s v="cesta"/>
    <d v="2019-11-01T00:00:00"/>
    <n v="462.06"/>
  </r>
  <r>
    <x v="15"/>
    <s v="cesta"/>
    <d v="2019-12-01T00:00:00"/>
    <n v="499.23"/>
  </r>
  <r>
    <x v="15"/>
    <s v="cesta"/>
    <d v="2020-01-01T00:00:00"/>
    <n v="492.2"/>
  </r>
  <r>
    <x v="15"/>
    <s v="cesta"/>
    <d v="2020-02-01T00:00:00"/>
    <n v="480.03"/>
  </r>
  <r>
    <x v="15"/>
    <s v="cesta"/>
    <d v="2020-03-01T00:00:00"/>
    <n v="504.78"/>
  </r>
  <r>
    <x v="15"/>
    <s v="cesta"/>
    <d v="2020-04-01T00:00:00"/>
    <n v="537.89"/>
  </r>
  <r>
    <x v="15"/>
    <s v="cesta"/>
    <d v="2020-05-01T00:00:00"/>
    <n v="536.73"/>
  </r>
  <r>
    <x v="15"/>
    <s v="cesta"/>
    <d v="2020-06-01T00:00:00"/>
    <n v="500.01"/>
  </r>
  <r>
    <x v="15"/>
    <s v="cesta"/>
    <d v="2020-07-01T00:00:00"/>
    <n v="484.8"/>
  </r>
  <r>
    <x v="15"/>
    <s v="cesta"/>
    <d v="2020-08-01T00:00:00"/>
    <n v="509.45"/>
  </r>
  <r>
    <x v="15"/>
    <s v="cesta"/>
    <d v="2020-09-01T00:00:00"/>
    <n v="539.36"/>
  </r>
  <r>
    <x v="15"/>
    <s v="cesta"/>
    <d v="2020-10-01T00:00:00"/>
    <n v="552.85"/>
  </r>
  <r>
    <x v="15"/>
    <s v="cesta"/>
    <d v="2020-11-01T00:00:00"/>
    <n v="606.59"/>
  </r>
  <r>
    <x v="15"/>
    <s v="cesta"/>
    <d v="2020-12-01T00:00:00"/>
    <n v="600.28"/>
  </r>
  <r>
    <x v="15"/>
    <s v="cesta"/>
    <d v="2021-01-01T00:00:00"/>
    <n v="624.62"/>
  </r>
  <r>
    <x v="15"/>
    <s v="cesta"/>
    <d v="2021-02-01T00:00:00"/>
    <n v="609.27"/>
  </r>
  <r>
    <x v="15"/>
    <s v="cesta"/>
    <d v="2021-03-01T00:00:00"/>
    <n v="596.91"/>
  </r>
  <r>
    <x v="15"/>
    <s v="cesta"/>
    <d v="2021-04-01T00:00:00"/>
    <n v="610.98"/>
  </r>
  <r>
    <x v="15"/>
    <s v="cesta"/>
    <d v="2021-05-01T00:00:00"/>
    <n v="616.96"/>
  </r>
  <r>
    <x v="15"/>
    <s v="cesta"/>
    <d v="2021-06-01T00:00:00"/>
    <n v="611.29"/>
  </r>
  <r>
    <x v="15"/>
    <s v="cesta"/>
    <d v="2021-07-01T00:00:00"/>
    <n v="612.45000000000005"/>
  </r>
  <r>
    <x v="15"/>
    <s v="cesta"/>
    <d v="2021-08-01T00:00:00"/>
    <n v="618.96"/>
  </r>
  <r>
    <x v="15"/>
    <s v="cesta"/>
    <d v="2021-09-01T00:00:00"/>
    <n v="633.03"/>
  </r>
  <r>
    <x v="15"/>
    <s v="cesta"/>
    <d v="2021-10-01T00:00:00"/>
    <n v="670.99"/>
  </r>
  <r>
    <x v="15"/>
    <s v="cesta"/>
    <d v="2021-11-01T00:00:00"/>
    <n v="668.17"/>
  </r>
  <r>
    <x v="15"/>
    <s v="cesta"/>
    <d v="2021-12-01T00:00:00"/>
    <n v="662.01"/>
  </r>
  <r>
    <x v="15"/>
    <s v="cesta"/>
    <d v="2022-01-01T00:00:00"/>
    <n v="677.54"/>
  </r>
  <r>
    <x v="15"/>
    <s v="cesta"/>
    <d v="2022-02-01T00:00:00"/>
    <n v="682.54"/>
  </r>
  <r>
    <x v="15"/>
    <s v="cesta"/>
    <d v="2022-03-01T00:00:00"/>
    <n v="704.93"/>
  </r>
  <r>
    <x v="15"/>
    <s v="cesta"/>
    <d v="2022-04-01T00:00:00"/>
    <n v="729.31"/>
  </r>
  <r>
    <x v="15"/>
    <s v="cesta"/>
    <d v="2022-05-01T00:00:00"/>
    <n v="698.24"/>
  </r>
  <r>
    <x v="15"/>
    <s v="cesta"/>
    <d v="2022-06-01T00:00:00"/>
    <n v="692.84"/>
  </r>
  <r>
    <x v="15"/>
    <s v="cesta"/>
    <d v="2022-07-01T00:00:00"/>
    <n v="700.75"/>
  </r>
  <r>
    <x v="15"/>
    <s v="cesta"/>
    <d v="2022-08-01T00:00:00"/>
    <n v="697.39"/>
  </r>
  <r>
    <x v="15"/>
    <s v="cesta"/>
    <d v="2022-09-01T00:00:00"/>
    <n v="686.26"/>
  </r>
  <r>
    <x v="15"/>
    <s v="cesta"/>
    <d v="2022-10-01T00:00:00"/>
    <n v="707.78"/>
  </r>
  <r>
    <x v="15"/>
    <s v="cesta"/>
    <d v="2022-11-01T00:00:00"/>
    <n v="713.57"/>
  </r>
  <r>
    <x v="15"/>
    <s v="cesta"/>
    <d v="2022-12-01T00:00:00"/>
    <n v="728.78"/>
  </r>
  <r>
    <x v="15"/>
    <s v="cesta"/>
    <d v="2023-01-01T00:00:00"/>
    <n v="726.23"/>
  </r>
  <r>
    <x v="15"/>
    <s v="cesta"/>
    <d v="2023-02-01T00:00:00"/>
    <n v="709.21"/>
  </r>
  <r>
    <x v="15"/>
    <s v="cesta"/>
    <d v="2023-03-01T00:00:00"/>
    <n v="699.16"/>
  </r>
  <r>
    <x v="15"/>
    <s v="cesta"/>
    <d v="2023-04-01T00:00:00"/>
    <n v="703.9"/>
  </r>
  <r>
    <x v="15"/>
    <s v="cesta"/>
    <d v="2023-05-01T00:00:00"/>
    <n v="706.06"/>
  </r>
  <r>
    <x v="15"/>
    <s v="cesta"/>
    <d v="2023-06-01T00:00:00"/>
    <n v="691.34"/>
  </r>
  <r>
    <x v="15"/>
    <s v="cesta"/>
    <d v="2023-07-01T00:00:00"/>
    <n v="674.54"/>
  </r>
  <r>
    <x v="15"/>
    <s v="cesta"/>
    <d v="2023-08-01T00:00:00"/>
    <n v="660.88"/>
  </r>
  <r>
    <x v="15"/>
    <s v="cesta"/>
    <d v="2023-09-01T00:00:00"/>
    <n v="681.91"/>
  </r>
  <r>
    <x v="15"/>
    <s v="cesta"/>
    <d v="2023-10-01T00:00:00"/>
    <n v="675.16"/>
  </r>
  <r>
    <x v="15"/>
    <s v="cesta"/>
    <d v="2023-11-01T00:00:00"/>
    <n v="675.45"/>
  </r>
  <r>
    <x v="15"/>
    <s v="cesta"/>
    <d v="2023-12-01T00:00:00"/>
    <n v="688.86"/>
  </r>
  <r>
    <x v="15"/>
    <s v="cesta"/>
    <d v="2024-01-01T00:00:00"/>
    <n v="719.3"/>
  </r>
  <r>
    <x v="15"/>
    <s v="cesta"/>
    <d v="2024-02-01T00:00:00"/>
    <n v="731.83"/>
  </r>
  <r>
    <x v="15"/>
    <s v="cesta"/>
    <d v="2024-03-01T00:00:00"/>
    <n v="729.34"/>
  </r>
  <r>
    <x v="15"/>
    <s v="cesta"/>
    <d v="2024-04-01T00:00:00"/>
    <n v="726.82"/>
  </r>
  <r>
    <x v="15"/>
    <s v="cesta"/>
    <d v="2024-05-01T00:00:00"/>
    <n v="723.91"/>
  </r>
  <r>
    <x v="15"/>
    <s v="cesta"/>
    <d v="2024-06-01T00:00:00"/>
    <n v="718.43"/>
  </r>
  <r>
    <x v="15"/>
    <s v="cesta"/>
    <d v="2024-07-01T00:00:00"/>
    <n v="688.45"/>
  </r>
  <r>
    <x v="15"/>
    <s v="cesta"/>
    <d v="2024-08-01T00:00:00"/>
    <n v="684.21"/>
  </r>
  <r>
    <x v="15"/>
    <s v="cesta"/>
    <d v="2024-09-01T00:00:00"/>
    <n v="694.87"/>
  </r>
  <r>
    <x v="15"/>
    <s v="cesta"/>
    <d v="2024-10-01T00:00:00"/>
    <n v="708.06"/>
  </r>
  <r>
    <x v="15"/>
    <s v="cesta"/>
    <d v="2024-11-01T00:00:00"/>
    <n v="726.51"/>
  </r>
  <r>
    <x v="15"/>
    <s v="cesta"/>
    <d v="2024-12-01T00:00:00"/>
    <n v="747.42"/>
  </r>
  <r>
    <x v="15"/>
    <s v="cesta"/>
    <d v="2025-01-01T00:00:00"/>
    <n v="735.31"/>
  </r>
  <r>
    <x v="15"/>
    <s v="cesta"/>
    <d v="2025-02-01T00:00:00"/>
    <n v="745.49"/>
  </r>
  <r>
    <x v="15"/>
    <s v="cesta"/>
    <d v="2025-03-01T00:00:00"/>
    <n v="762.94"/>
  </r>
  <r>
    <x v="15"/>
    <s v="cesta"/>
    <d v="2025-04-01T00:00:00"/>
    <n v="793.86"/>
  </r>
  <r>
    <x v="15"/>
    <s v="cesta"/>
    <d v="2025-05-01T00:00:00"/>
    <n v="784.96"/>
  </r>
  <r>
    <x v="15"/>
    <s v="cesta"/>
    <d v="2025-06-01T00:00:00"/>
    <n v="782.39"/>
  </r>
  <r>
    <x v="16"/>
    <s v="salario_minimo"/>
    <d v="2015-01-01T00:00:00"/>
    <n v="788"/>
  </r>
  <r>
    <x v="16"/>
    <s v="salario_minimo"/>
    <d v="2015-02-01T00:00:00"/>
    <n v="788"/>
  </r>
  <r>
    <x v="16"/>
    <s v="salario_minimo"/>
    <d v="2015-03-01T00:00:00"/>
    <n v="788"/>
  </r>
  <r>
    <x v="16"/>
    <s v="salario_minimo"/>
    <d v="2015-04-01T00:00:00"/>
    <n v="788"/>
  </r>
  <r>
    <x v="16"/>
    <s v="salario_minimo"/>
    <d v="2015-05-01T00:00:00"/>
    <n v="788"/>
  </r>
  <r>
    <x v="16"/>
    <s v="salario_minimo"/>
    <d v="2015-06-01T00:00:00"/>
    <n v="788"/>
  </r>
  <r>
    <x v="16"/>
    <s v="salario_minimo"/>
    <d v="2015-07-01T00:00:00"/>
    <n v="788"/>
  </r>
  <r>
    <x v="16"/>
    <s v="salario_minimo"/>
    <d v="2015-08-01T00:00:00"/>
    <n v="788"/>
  </r>
  <r>
    <x v="16"/>
    <s v="salario_minimo"/>
    <d v="2015-09-01T00:00:00"/>
    <n v="788"/>
  </r>
  <r>
    <x v="16"/>
    <s v="salario_minimo"/>
    <d v="2015-10-01T00:00:00"/>
    <n v="788"/>
  </r>
  <r>
    <x v="16"/>
    <s v="salario_minimo"/>
    <d v="2015-11-01T00:00:00"/>
    <n v="788"/>
  </r>
  <r>
    <x v="16"/>
    <s v="salario_minimo"/>
    <d v="2015-12-01T00:00:00"/>
    <n v="788"/>
  </r>
  <r>
    <x v="16"/>
    <s v="salario_minimo"/>
    <d v="2016-01-01T00:00:00"/>
    <n v="880"/>
  </r>
  <r>
    <x v="16"/>
    <s v="salario_minimo"/>
    <d v="2016-02-01T00:00:00"/>
    <n v="880"/>
  </r>
  <r>
    <x v="16"/>
    <s v="salario_minimo"/>
    <d v="2016-03-01T00:00:00"/>
    <n v="880"/>
  </r>
  <r>
    <x v="16"/>
    <s v="salario_minimo"/>
    <d v="2016-04-01T00:00:00"/>
    <n v="880"/>
  </r>
  <r>
    <x v="16"/>
    <s v="salario_minimo"/>
    <d v="2016-05-01T00:00:00"/>
    <n v="880"/>
  </r>
  <r>
    <x v="16"/>
    <s v="salario_minimo"/>
    <d v="2016-06-01T00:00:00"/>
    <n v="880"/>
  </r>
  <r>
    <x v="16"/>
    <s v="salario_minimo"/>
    <d v="2016-07-01T00:00:00"/>
    <n v="880"/>
  </r>
  <r>
    <x v="16"/>
    <s v="salario_minimo"/>
    <d v="2016-08-01T00:00:00"/>
    <n v="880"/>
  </r>
  <r>
    <x v="16"/>
    <s v="salario_minimo"/>
    <d v="2016-09-01T00:00:00"/>
    <n v="880"/>
  </r>
  <r>
    <x v="16"/>
    <s v="salario_minimo"/>
    <d v="2016-10-01T00:00:00"/>
    <n v="880"/>
  </r>
  <r>
    <x v="16"/>
    <s v="salario_minimo"/>
    <d v="2016-11-01T00:00:00"/>
    <n v="880"/>
  </r>
  <r>
    <x v="16"/>
    <s v="salario_minimo"/>
    <d v="2016-12-01T00:00:00"/>
    <n v="880"/>
  </r>
  <r>
    <x v="16"/>
    <s v="salario_minimo"/>
    <d v="2017-01-01T00:00:00"/>
    <n v="937"/>
  </r>
  <r>
    <x v="16"/>
    <s v="salario_minimo"/>
    <d v="2017-02-01T00:00:00"/>
    <n v="937"/>
  </r>
  <r>
    <x v="16"/>
    <s v="salario_minimo"/>
    <d v="2017-03-01T00:00:00"/>
    <n v="937"/>
  </r>
  <r>
    <x v="16"/>
    <s v="salario_minimo"/>
    <d v="2017-04-01T00:00:00"/>
    <n v="937"/>
  </r>
  <r>
    <x v="16"/>
    <s v="salario_minimo"/>
    <d v="2017-05-01T00:00:00"/>
    <n v="937"/>
  </r>
  <r>
    <x v="16"/>
    <s v="salario_minimo"/>
    <d v="2017-06-01T00:00:00"/>
    <n v="937"/>
  </r>
  <r>
    <x v="16"/>
    <s v="salario_minimo"/>
    <d v="2017-07-01T00:00:00"/>
    <n v="937"/>
  </r>
  <r>
    <x v="16"/>
    <s v="salario_minimo"/>
    <d v="2017-08-01T00:00:00"/>
    <n v="937"/>
  </r>
  <r>
    <x v="16"/>
    <s v="salario_minimo"/>
    <d v="2017-09-01T00:00:00"/>
    <n v="937"/>
  </r>
  <r>
    <x v="16"/>
    <s v="salario_minimo"/>
    <d v="2017-10-01T00:00:00"/>
    <n v="937"/>
  </r>
  <r>
    <x v="16"/>
    <s v="salario_minimo"/>
    <d v="2017-11-01T00:00:00"/>
    <n v="937"/>
  </r>
  <r>
    <x v="16"/>
    <s v="salario_minimo"/>
    <d v="2017-12-01T00:00:00"/>
    <n v="937"/>
  </r>
  <r>
    <x v="16"/>
    <s v="salario_minimo"/>
    <d v="2018-01-01T00:00:00"/>
    <n v="954"/>
  </r>
  <r>
    <x v="16"/>
    <s v="salario_minimo"/>
    <d v="2018-02-01T00:00:00"/>
    <n v="954"/>
  </r>
  <r>
    <x v="16"/>
    <s v="salario_minimo"/>
    <d v="2018-03-01T00:00:00"/>
    <n v="954"/>
  </r>
  <r>
    <x v="16"/>
    <s v="salario_minimo"/>
    <d v="2018-04-01T00:00:00"/>
    <n v="954"/>
  </r>
  <r>
    <x v="16"/>
    <s v="salario_minimo"/>
    <d v="2018-05-01T00:00:00"/>
    <n v="954"/>
  </r>
  <r>
    <x v="16"/>
    <s v="salario_minimo"/>
    <d v="2018-06-01T00:00:00"/>
    <n v="954"/>
  </r>
  <r>
    <x v="16"/>
    <s v="salario_minimo"/>
    <d v="2018-07-01T00:00:00"/>
    <n v="954"/>
  </r>
  <r>
    <x v="16"/>
    <s v="salario_minimo"/>
    <d v="2018-08-01T00:00:00"/>
    <n v="954"/>
  </r>
  <r>
    <x v="16"/>
    <s v="salario_minimo"/>
    <d v="2018-09-01T00:00:00"/>
    <n v="954"/>
  </r>
  <r>
    <x v="16"/>
    <s v="salario_minimo"/>
    <d v="2018-10-01T00:00:00"/>
    <n v="954"/>
  </r>
  <r>
    <x v="16"/>
    <s v="salario_minimo"/>
    <d v="2018-11-01T00:00:00"/>
    <n v="954"/>
  </r>
  <r>
    <x v="16"/>
    <s v="salario_minimo"/>
    <d v="2018-12-01T00:00:00"/>
    <n v="954"/>
  </r>
  <r>
    <x v="16"/>
    <s v="salario_minimo"/>
    <d v="2019-01-01T00:00:00"/>
    <n v="998"/>
  </r>
  <r>
    <x v="16"/>
    <s v="salario_minimo"/>
    <d v="2019-02-01T00:00:00"/>
    <n v="998"/>
  </r>
  <r>
    <x v="16"/>
    <s v="salario_minimo"/>
    <d v="2019-03-01T00:00:00"/>
    <n v="998"/>
  </r>
  <r>
    <x v="16"/>
    <s v="salario_minimo"/>
    <d v="2019-04-01T00:00:00"/>
    <n v="998"/>
  </r>
  <r>
    <x v="16"/>
    <s v="salario_minimo"/>
    <d v="2019-05-01T00:00:00"/>
    <n v="998"/>
  </r>
  <r>
    <x v="16"/>
    <s v="salario_minimo"/>
    <d v="2019-06-01T00:00:00"/>
    <n v="998"/>
  </r>
  <r>
    <x v="16"/>
    <s v="salario_minimo"/>
    <d v="2019-07-01T00:00:00"/>
    <n v="998"/>
  </r>
  <r>
    <x v="16"/>
    <s v="salario_minimo"/>
    <d v="2019-08-01T00:00:00"/>
    <n v="998"/>
  </r>
  <r>
    <x v="16"/>
    <s v="salario_minimo"/>
    <d v="2019-09-01T00:00:00"/>
    <n v="998"/>
  </r>
  <r>
    <x v="16"/>
    <s v="salario_minimo"/>
    <d v="2019-10-01T00:00:00"/>
    <n v="998"/>
  </r>
  <r>
    <x v="16"/>
    <s v="salario_minimo"/>
    <d v="2019-11-01T00:00:00"/>
    <n v="998"/>
  </r>
  <r>
    <x v="16"/>
    <s v="salario_minimo"/>
    <d v="2019-12-01T00:00:00"/>
    <n v="998"/>
  </r>
  <r>
    <x v="16"/>
    <s v="salario_minimo"/>
    <d v="2020-01-01T00:00:00"/>
    <n v="1039"/>
  </r>
  <r>
    <x v="16"/>
    <s v="salario_minimo"/>
    <d v="2020-02-01T00:00:00"/>
    <n v="1045"/>
  </r>
  <r>
    <x v="16"/>
    <s v="salario_minimo"/>
    <d v="2020-03-01T00:00:00"/>
    <n v="1045"/>
  </r>
  <r>
    <x v="16"/>
    <s v="salario_minimo"/>
    <d v="2020-04-01T00:00:00"/>
    <n v="1045"/>
  </r>
  <r>
    <x v="16"/>
    <s v="salario_minimo"/>
    <d v="2020-05-01T00:00:00"/>
    <n v="1045"/>
  </r>
  <r>
    <x v="16"/>
    <s v="salario_minimo"/>
    <d v="2020-06-01T00:00:00"/>
    <n v="1045"/>
  </r>
  <r>
    <x v="16"/>
    <s v="salario_minimo"/>
    <d v="2020-07-01T00:00:00"/>
    <n v="1045"/>
  </r>
  <r>
    <x v="16"/>
    <s v="salario_minimo"/>
    <d v="2020-08-01T00:00:00"/>
    <n v="1045"/>
  </r>
  <r>
    <x v="16"/>
    <s v="salario_minimo"/>
    <d v="2020-09-01T00:00:00"/>
    <n v="1045"/>
  </r>
  <r>
    <x v="16"/>
    <s v="salario_minimo"/>
    <d v="2020-10-01T00:00:00"/>
    <n v="1045"/>
  </r>
  <r>
    <x v="16"/>
    <s v="salario_minimo"/>
    <d v="2020-11-01T00:00:00"/>
    <n v="1045"/>
  </r>
  <r>
    <x v="16"/>
    <s v="salario_minimo"/>
    <d v="2020-12-01T00:00:00"/>
    <n v="1045"/>
  </r>
  <r>
    <x v="16"/>
    <s v="salario_minimo"/>
    <d v="2021-01-01T00:00:00"/>
    <n v="1100"/>
  </r>
  <r>
    <x v="16"/>
    <s v="salario_minimo"/>
    <d v="2021-02-01T00:00:00"/>
    <n v="1100"/>
  </r>
  <r>
    <x v="16"/>
    <s v="salario_minimo"/>
    <d v="2021-03-01T00:00:00"/>
    <n v="1100"/>
  </r>
  <r>
    <x v="16"/>
    <s v="salario_minimo"/>
    <d v="2021-04-01T00:00:00"/>
    <n v="1100"/>
  </r>
  <r>
    <x v="16"/>
    <s v="salario_minimo"/>
    <d v="2021-05-01T00:00:00"/>
    <n v="1100"/>
  </r>
  <r>
    <x v="16"/>
    <s v="salario_minimo"/>
    <d v="2021-06-01T00:00:00"/>
    <n v="1100"/>
  </r>
  <r>
    <x v="16"/>
    <s v="salario_minimo"/>
    <d v="2021-07-01T00:00:00"/>
    <n v="1100"/>
  </r>
  <r>
    <x v="16"/>
    <s v="salario_minimo"/>
    <d v="2021-08-01T00:00:00"/>
    <n v="1100"/>
  </r>
  <r>
    <x v="16"/>
    <s v="salario_minimo"/>
    <d v="2021-09-01T00:00:00"/>
    <n v="1100"/>
  </r>
  <r>
    <x v="16"/>
    <s v="salario_minimo"/>
    <d v="2021-10-01T00:00:00"/>
    <n v="1100"/>
  </r>
  <r>
    <x v="16"/>
    <s v="salario_minimo"/>
    <d v="2021-11-01T00:00:00"/>
    <n v="1100"/>
  </r>
  <r>
    <x v="16"/>
    <s v="salario_minimo"/>
    <d v="2021-12-01T00:00:00"/>
    <n v="1100"/>
  </r>
  <r>
    <x v="16"/>
    <s v="salario_minimo"/>
    <d v="2022-01-01T00:00:00"/>
    <n v="1212"/>
  </r>
  <r>
    <x v="16"/>
    <s v="salario_minimo"/>
    <d v="2022-02-01T00:00:00"/>
    <n v="1212"/>
  </r>
  <r>
    <x v="16"/>
    <s v="salario_minimo"/>
    <d v="2022-03-01T00:00:00"/>
    <n v="1212"/>
  </r>
  <r>
    <x v="16"/>
    <s v="salario_minimo"/>
    <d v="2022-04-01T00:00:00"/>
    <n v="1212"/>
  </r>
  <r>
    <x v="16"/>
    <s v="salario_minimo"/>
    <d v="2022-05-01T00:00:00"/>
    <n v="1212"/>
  </r>
  <r>
    <x v="16"/>
    <s v="salario_minimo"/>
    <d v="2022-06-01T00:00:00"/>
    <n v="1212"/>
  </r>
  <r>
    <x v="16"/>
    <s v="salario_minimo"/>
    <d v="2022-07-01T00:00:00"/>
    <n v="1212"/>
  </r>
  <r>
    <x v="16"/>
    <s v="salario_minimo"/>
    <d v="2022-08-01T00:00:00"/>
    <n v="1212"/>
  </r>
  <r>
    <x v="16"/>
    <s v="salario_minimo"/>
    <d v="2022-09-01T00:00:00"/>
    <n v="1212"/>
  </r>
  <r>
    <x v="16"/>
    <s v="salario_minimo"/>
    <d v="2022-10-01T00:00:00"/>
    <n v="1212"/>
  </r>
  <r>
    <x v="16"/>
    <s v="salario_minimo"/>
    <d v="2022-11-01T00:00:00"/>
    <n v="1212"/>
  </r>
  <r>
    <x v="16"/>
    <s v="salario_minimo"/>
    <d v="2022-12-01T00:00:00"/>
    <n v="1212"/>
  </r>
  <r>
    <x v="16"/>
    <s v="salario_minimo"/>
    <d v="2023-01-01T00:00:00"/>
    <n v="1302"/>
  </r>
  <r>
    <x v="16"/>
    <s v="salario_minimo"/>
    <d v="2023-02-01T00:00:00"/>
    <n v="1302"/>
  </r>
  <r>
    <x v="16"/>
    <s v="salario_minimo"/>
    <d v="2023-03-01T00:00:00"/>
    <n v="1302"/>
  </r>
  <r>
    <x v="16"/>
    <s v="salario_minimo"/>
    <d v="2023-04-01T00:00:00"/>
    <n v="1302"/>
  </r>
  <r>
    <x v="16"/>
    <s v="salario_minimo"/>
    <d v="2023-05-01T00:00:00"/>
    <n v="1320"/>
  </r>
  <r>
    <x v="16"/>
    <s v="salario_minimo"/>
    <d v="2023-06-01T00:00:00"/>
    <n v="1320"/>
  </r>
  <r>
    <x v="16"/>
    <s v="salario_minimo"/>
    <d v="2023-07-01T00:00:00"/>
    <n v="1320"/>
  </r>
  <r>
    <x v="16"/>
    <s v="salario_minimo"/>
    <d v="2023-08-01T00:00:00"/>
    <n v="1320"/>
  </r>
  <r>
    <x v="16"/>
    <s v="salario_minimo"/>
    <d v="2023-09-01T00:00:00"/>
    <n v="1320"/>
  </r>
  <r>
    <x v="16"/>
    <s v="salario_minimo"/>
    <d v="2023-10-01T00:00:00"/>
    <n v="1320"/>
  </r>
  <r>
    <x v="16"/>
    <s v="salario_minimo"/>
    <d v="2023-11-01T00:00:00"/>
    <n v="1320"/>
  </r>
  <r>
    <x v="16"/>
    <s v="salario_minimo"/>
    <d v="2023-12-01T00:00:00"/>
    <n v="1320"/>
  </r>
  <r>
    <x v="16"/>
    <s v="salario_minimo"/>
    <d v="2024-01-01T00:00:00"/>
    <n v="1412"/>
  </r>
  <r>
    <x v="16"/>
    <s v="salario_minimo"/>
    <d v="2024-02-01T00:00:00"/>
    <n v="1412"/>
  </r>
  <r>
    <x v="16"/>
    <s v="salario_minimo"/>
    <d v="2024-03-01T00:00:00"/>
    <n v="1412"/>
  </r>
  <r>
    <x v="16"/>
    <s v="salario_minimo"/>
    <d v="2024-04-01T00:00:00"/>
    <n v="1412"/>
  </r>
  <r>
    <x v="16"/>
    <s v="salario_minimo"/>
    <d v="2024-05-01T00:00:00"/>
    <n v="1412"/>
  </r>
  <r>
    <x v="16"/>
    <s v="salario_minimo"/>
    <d v="2024-06-01T00:00:00"/>
    <n v="1412"/>
  </r>
  <r>
    <x v="16"/>
    <s v="salario_minimo"/>
    <d v="2024-07-01T00:00:00"/>
    <n v="1412"/>
  </r>
  <r>
    <x v="16"/>
    <s v="salario_minimo"/>
    <d v="2024-08-01T00:00:00"/>
    <n v="1412"/>
  </r>
  <r>
    <x v="16"/>
    <s v="salario_minimo"/>
    <d v="2024-09-01T00:00:00"/>
    <n v="1412"/>
  </r>
  <r>
    <x v="16"/>
    <s v="salario_minimo"/>
    <d v="2024-10-01T00:00:00"/>
    <n v="1412"/>
  </r>
  <r>
    <x v="16"/>
    <s v="salario_minimo"/>
    <d v="2024-11-01T00:00:00"/>
    <n v="1412"/>
  </r>
  <r>
    <x v="16"/>
    <s v="salario_minimo"/>
    <d v="2024-12-01T00:00:00"/>
    <n v="1412"/>
  </r>
  <r>
    <x v="16"/>
    <s v="salario_minimo"/>
    <d v="2025-01-01T00:00:00"/>
    <n v="1518"/>
  </r>
  <r>
    <x v="16"/>
    <s v="salario_minimo"/>
    <d v="2025-02-01T00:00:00"/>
    <n v="1518"/>
  </r>
  <r>
    <x v="16"/>
    <s v="salario_minimo"/>
    <d v="2025-03-01T00:00:00"/>
    <n v="1518"/>
  </r>
  <r>
    <x v="16"/>
    <s v="salario_minimo"/>
    <d v="2025-04-01T00:00:00"/>
    <n v="1518"/>
  </r>
  <r>
    <x v="16"/>
    <s v="salario_minimo"/>
    <d v="2025-05-01T00:00:00"/>
    <n v="1518"/>
  </r>
  <r>
    <x v="16"/>
    <s v="salario_minimo"/>
    <d v="2025-06-01T00:00:00"/>
    <n v="151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14">
  <r>
    <x v="0"/>
    <d v="2015-01-01T00:00:00"/>
    <n v="264.83999999999997"/>
    <n v="788"/>
    <n v="2.9753813623319743"/>
    <n v="0.33609137055837562"/>
    <x v="0"/>
  </r>
  <r>
    <x v="0"/>
    <d v="2015-02-01T00:00:00"/>
    <n v="264.67"/>
    <n v="788"/>
    <n v="2.9772924774247174"/>
    <n v="0.33587563451776653"/>
    <x v="0"/>
  </r>
  <r>
    <x v="0"/>
    <d v="2015-03-01T00:00:00"/>
    <n v="273.20999999999998"/>
    <n v="788"/>
    <n v="2.8842282493320157"/>
    <n v="0.34671319796954314"/>
    <x v="0"/>
  </r>
  <r>
    <x v="0"/>
    <d v="2015-04-01T00:00:00"/>
    <n v="281.61"/>
    <n v="788"/>
    <n v="2.7981960867866906"/>
    <n v="0.35737309644670051"/>
    <x v="0"/>
  </r>
  <r>
    <x v="0"/>
    <d v="2015-05-01T00:00:00"/>
    <n v="277.16000000000003"/>
    <n v="788"/>
    <n v="2.8431231057872708"/>
    <n v="0.35172588832487311"/>
    <x v="0"/>
  </r>
  <r>
    <x v="0"/>
    <d v="2015-06-01T00:00:00"/>
    <n v="275.42"/>
    <n v="788"/>
    <n v="2.8610848885338753"/>
    <n v="0.34951776649746197"/>
    <x v="0"/>
  </r>
  <r>
    <x v="0"/>
    <d v="2015-07-01T00:00:00"/>
    <n v="285.44"/>
    <n v="788"/>
    <n v="2.7606502242152469"/>
    <n v="0.36223350253807107"/>
    <x v="0"/>
  </r>
  <r>
    <x v="0"/>
    <d v="2015-08-01T00:00:00"/>
    <n v="283.02"/>
    <n v="788"/>
    <n v="2.7842555296445481"/>
    <n v="0.35916243654822333"/>
    <x v="0"/>
  </r>
  <r>
    <x v="0"/>
    <d v="2015-09-01T00:00:00"/>
    <n v="280.26"/>
    <n v="788"/>
    <n v="2.8116748733319064"/>
    <n v="0.35565989847715734"/>
    <x v="0"/>
  </r>
  <r>
    <x v="0"/>
    <d v="2015-10-01T00:00:00"/>
    <n v="282.87"/>
    <n v="788"/>
    <n v="2.7857319616785094"/>
    <n v="0.35897208121827412"/>
    <x v="0"/>
  </r>
  <r>
    <x v="0"/>
    <d v="2015-11-01T00:00:00"/>
    <n v="291.8"/>
    <n v="788"/>
    <n v="2.7004797806716927"/>
    <n v="0.37030456852791882"/>
    <x v="0"/>
  </r>
  <r>
    <x v="0"/>
    <d v="2015-12-01T00:00:00"/>
    <n v="296.82"/>
    <n v="788"/>
    <n v="2.6548076275183612"/>
    <n v="0.37667512690355331"/>
    <x v="0"/>
  </r>
  <r>
    <x v="0"/>
    <d v="2016-01-01T00:00:00"/>
    <n v="350.73"/>
    <n v="880"/>
    <n v="2.5090525475436944"/>
    <n v="0.39855681818181821"/>
    <x v="1"/>
  </r>
  <r>
    <x v="0"/>
    <d v="2016-02-01T00:00:00"/>
    <n v="362.09"/>
    <n v="880"/>
    <n v="2.4303349995857384"/>
    <n v="0.41146590909090908"/>
    <x v="1"/>
  </r>
  <r>
    <x v="0"/>
    <d v="2016-03-01T00:00:00"/>
    <n v="349.32"/>
    <n v="880"/>
    <n v="2.5191801213786786"/>
    <n v="0.39695454545454545"/>
    <x v="1"/>
  </r>
  <r>
    <x v="0"/>
    <d v="2016-04-01T00:00:00"/>
    <n v="348.24"/>
    <n v="880"/>
    <n v="2.5269928784746152"/>
    <n v="0.39572727272727276"/>
    <x v="1"/>
  </r>
  <r>
    <x v="0"/>
    <d v="2016-05-01T00:00:00"/>
    <n v="334.83"/>
    <n v="880"/>
    <n v="2.628199384762417"/>
    <n v="0.38048863636363633"/>
    <x v="1"/>
  </r>
  <r>
    <x v="0"/>
    <d v="2016-06-01T00:00:00"/>
    <n v="376.73"/>
    <n v="880"/>
    <n v="2.3358904255036763"/>
    <n v="0.42810227272727275"/>
    <x v="1"/>
  </r>
  <r>
    <x v="0"/>
    <d v="2016-07-01T00:00:00"/>
    <n v="379.29"/>
    <n v="880"/>
    <n v="2.3201244430383081"/>
    <n v="0.43101136363636366"/>
    <x v="1"/>
  </r>
  <r>
    <x v="0"/>
    <d v="2016-08-01T00:00:00"/>
    <n v="370.7"/>
    <n v="880"/>
    <n v="2.3738872403560833"/>
    <n v="0.42125000000000001"/>
    <x v="1"/>
  </r>
  <r>
    <x v="0"/>
    <d v="2016-09-01T00:00:00"/>
    <n v="371.3"/>
    <n v="880"/>
    <n v="2.3700511715593859"/>
    <n v="0.42193181818181819"/>
    <x v="1"/>
  </r>
  <r>
    <x v="0"/>
    <d v="2016-10-01T00:00:00"/>
    <n v="378.17"/>
    <n v="880"/>
    <n v="2.3269957955416873"/>
    <n v="0.42973863636363641"/>
    <x v="1"/>
  </r>
  <r>
    <x v="0"/>
    <d v="2016-11-01T00:00:00"/>
    <n v="368.52"/>
    <n v="880"/>
    <n v="2.3879300987734724"/>
    <n v="0.41877272727272724"/>
    <x v="1"/>
  </r>
  <r>
    <x v="0"/>
    <d v="2016-12-01T00:00:00"/>
    <n v="349.68"/>
    <n v="880"/>
    <n v="2.516586593456875"/>
    <n v="0.39736363636363636"/>
    <x v="1"/>
  </r>
  <r>
    <x v="0"/>
    <d v="2017-01-01T00:00:00"/>
    <n v="357.52"/>
    <n v="937"/>
    <n v="2.6208324009845603"/>
    <n v="0.38155816435432227"/>
    <x v="2"/>
  </r>
  <r>
    <x v="0"/>
    <d v="2017-02-01T00:00:00"/>
    <n v="344.72"/>
    <n v="937"/>
    <n v="2.7181480621954046"/>
    <n v="0.36789754535752406"/>
    <x v="2"/>
  </r>
  <r>
    <x v="0"/>
    <d v="2017-03-01T00:00:00"/>
    <n v="351.81"/>
    <n v="937"/>
    <n v="2.66336943236406"/>
    <n v="0.37546424759871933"/>
    <x v="2"/>
  </r>
  <r>
    <x v="0"/>
    <d v="2017-04-01T00:00:00"/>
    <n v="363.87"/>
    <n v="937"/>
    <n v="2.5750955011405172"/>
    <n v="0.38833511205976523"/>
    <x v="2"/>
  </r>
  <r>
    <x v="0"/>
    <d v="2017-05-01T00:00:00"/>
    <n v="371"/>
    <n v="937"/>
    <n v="2.5256064690026956"/>
    <n v="0.39594450373532553"/>
    <x v="2"/>
  </r>
  <r>
    <x v="0"/>
    <d v="2017-06-01T00:00:00"/>
    <n v="365.55"/>
    <n v="937"/>
    <n v="2.5632608398303924"/>
    <n v="0.39012806830309499"/>
    <x v="2"/>
  </r>
  <r>
    <x v="0"/>
    <d v="2017-07-01T00:00:00"/>
    <n v="364.27"/>
    <n v="937"/>
    <n v="2.5722678233178686"/>
    <n v="0.38876200640341513"/>
    <x v="2"/>
  </r>
  <r>
    <x v="0"/>
    <d v="2017-08-01T00:00:00"/>
    <n v="353.85"/>
    <n v="937"/>
    <n v="2.64801469549244"/>
    <n v="0.37764140875133406"/>
    <x v="2"/>
  </r>
  <r>
    <x v="0"/>
    <d v="2017-09-01T00:00:00"/>
    <n v="344.16"/>
    <n v="937"/>
    <n v="2.7225708972570897"/>
    <n v="0.3672998932764141"/>
    <x v="2"/>
  </r>
  <r>
    <x v="0"/>
    <d v="2017-10-01T00:00:00"/>
    <n v="340.47"/>
    <n v="937"/>
    <n v="2.7520780098099684"/>
    <n v="0.36336179295624338"/>
    <x v="2"/>
  </r>
  <r>
    <x v="0"/>
    <d v="2017-11-01T00:00:00"/>
    <n v="341.09"/>
    <n v="937"/>
    <n v="2.7470755519071215"/>
    <n v="0.36402347918890071"/>
    <x v="2"/>
  </r>
  <r>
    <x v="0"/>
    <d v="2017-12-01T00:00:00"/>
    <n v="340.02"/>
    <n v="937"/>
    <n v="2.7557202517498971"/>
    <n v="0.36288153681963714"/>
    <x v="2"/>
  </r>
  <r>
    <x v="0"/>
    <d v="2018-01-01T00:00:00"/>
    <n v="349.97"/>
    <n v="954"/>
    <n v="2.7259479383947194"/>
    <n v="0.3668448637316562"/>
    <x v="3"/>
  </r>
  <r>
    <x v="0"/>
    <d v="2018-02-01T00:00:00"/>
    <n v="341.59"/>
    <n v="954"/>
    <n v="2.7928218039169765"/>
    <n v="0.35806079664570228"/>
    <x v="3"/>
  </r>
  <r>
    <x v="0"/>
    <d v="2018-03-01T00:00:00"/>
    <n v="339.77"/>
    <n v="954"/>
    <n v="2.8077817347028873"/>
    <n v="0.35615303983228508"/>
    <x v="3"/>
  </r>
  <r>
    <x v="0"/>
    <d v="2018-04-01T00:00:00"/>
    <n v="342.39"/>
    <n v="954"/>
    <n v="2.7862963287479192"/>
    <n v="0.35889937106918235"/>
    <x v="3"/>
  </r>
  <r>
    <x v="0"/>
    <d v="2018-05-01T00:00:00"/>
    <n v="349.29"/>
    <n v="954"/>
    <n v="2.7312548312290645"/>
    <n v="0.36613207547169813"/>
    <x v="3"/>
  </r>
  <r>
    <x v="0"/>
    <d v="2018-06-01T00:00:00"/>
    <n v="349.55"/>
    <n v="954"/>
    <n v="2.7292232870833928"/>
    <n v="0.36640461215932918"/>
    <x v="3"/>
  </r>
  <r>
    <x v="0"/>
    <d v="2018-07-01T00:00:00"/>
    <n v="344.89"/>
    <n v="954"/>
    <n v="2.7660993360201807"/>
    <n v="0.36151991614255763"/>
    <x v="3"/>
  </r>
  <r>
    <x v="0"/>
    <d v="2018-08-01T00:00:00"/>
    <n v="344.92"/>
    <n v="954"/>
    <n v="2.7658587498550387"/>
    <n v="0.36155136268343818"/>
    <x v="3"/>
  </r>
  <r>
    <x v="0"/>
    <d v="2018-09-01T00:00:00"/>
    <n v="342.34"/>
    <n v="954"/>
    <n v="2.7867032774434772"/>
    <n v="0.35884696016771483"/>
    <x v="3"/>
  </r>
  <r>
    <x v="0"/>
    <d v="2018-10-01T00:00:00"/>
    <n v="342.5"/>
    <n v="954"/>
    <n v="2.7854014598540147"/>
    <n v="0.35901467505241091"/>
    <x v="3"/>
  </r>
  <r>
    <x v="0"/>
    <d v="2018-11-01T00:00:00"/>
    <n v="349.76"/>
    <n v="954"/>
    <n v="2.7275846294602015"/>
    <n v="0.36662473794549266"/>
    <x v="3"/>
  </r>
  <r>
    <x v="0"/>
    <d v="2018-12-01T00:00:00"/>
    <n v="358.75"/>
    <n v="954"/>
    <n v="2.6592334494773517"/>
    <n v="0.37604821802935012"/>
    <x v="3"/>
  </r>
  <r>
    <x v="0"/>
    <d v="2019-01-01T00:00:00"/>
    <n v="356.56"/>
    <n v="998"/>
    <n v="2.7989679156383218"/>
    <n v="0.35727454909819639"/>
    <x v="4"/>
  </r>
  <r>
    <x v="0"/>
    <d v="2019-02-01T00:00:00"/>
    <n v="379.61"/>
    <n v="998"/>
    <n v="2.6290139880403571"/>
    <n v="0.38037074148296596"/>
    <x v="4"/>
  </r>
  <r>
    <x v="0"/>
    <d v="2019-03-01T00:00:00"/>
    <n v="385.62"/>
    <n v="998"/>
    <n v="2.5880400394170429"/>
    <n v="0.38639278557114232"/>
    <x v="4"/>
  </r>
  <r>
    <x v="0"/>
    <d v="2019-04-01T00:00:00"/>
    <n v="404.68"/>
    <n v="998"/>
    <n v="2.466146090738361"/>
    <n v="0.40549098196392785"/>
    <x v="4"/>
  </r>
  <r>
    <x v="0"/>
    <d v="2019-05-01T00:00:00"/>
    <n v="408.16"/>
    <n v="998"/>
    <n v="2.4451195609564875"/>
    <n v="0.40897795591182368"/>
    <x v="4"/>
  </r>
  <r>
    <x v="0"/>
    <d v="2019-06-01T00:00:00"/>
    <n v="383.09"/>
    <n v="998"/>
    <n v="2.6051319533268948"/>
    <n v="0.38385771543086172"/>
    <x v="4"/>
  </r>
  <r>
    <x v="0"/>
    <d v="2019-07-01T00:00:00"/>
    <n v="359.95"/>
    <n v="998"/>
    <n v="2.7726073065703569"/>
    <n v="0.36067134268537071"/>
    <x v="4"/>
  </r>
  <r>
    <x v="0"/>
    <d v="2019-08-01T00:00:00"/>
    <n v="337.96"/>
    <n v="998"/>
    <n v="2.9530121907918097"/>
    <n v="0.3386372745490982"/>
    <x v="4"/>
  </r>
  <r>
    <x v="0"/>
    <d v="2019-09-01T00:00:00"/>
    <n v="328.7"/>
    <n v="998"/>
    <n v="3.0362032248250688"/>
    <n v="0.32935871743486972"/>
    <x v="4"/>
  </r>
  <r>
    <x v="0"/>
    <d v="2019-10-01T00:00:00"/>
    <n v="325.01"/>
    <n v="998"/>
    <n v="3.070674748469278"/>
    <n v="0.32566132264529057"/>
    <x v="4"/>
  </r>
  <r>
    <x v="0"/>
    <d v="2019-11-01T00:00:00"/>
    <n v="325.39999999999998"/>
    <n v="998"/>
    <n v="3.0669944683466506"/>
    <n v="0.32605210420841679"/>
    <x v="4"/>
  </r>
  <r>
    <x v="0"/>
    <d v="2019-12-01T00:00:00"/>
    <n v="351.97"/>
    <n v="998"/>
    <n v="2.8354689320112509"/>
    <n v="0.35267535070140282"/>
    <x v="4"/>
  </r>
  <r>
    <x v="0"/>
    <d v="2020-01-01T00:00:00"/>
    <n v="368.69"/>
    <n v="1039"/>
    <n v="2.8180856546149884"/>
    <n v="0.35485081809432145"/>
    <x v="5"/>
  </r>
  <r>
    <x v="0"/>
    <d v="2020-02-01T00:00:00"/>
    <n v="371.22"/>
    <n v="1045"/>
    <n v="2.8150422929799039"/>
    <n v="0.35523444976076557"/>
    <x v="5"/>
  </r>
  <r>
    <x v="0"/>
    <d v="2020-03-01T00:00:00"/>
    <n v="390.2"/>
    <n v="1045"/>
    <n v="2.6781137878011276"/>
    <n v="0.37339712918660284"/>
    <x v="5"/>
  </r>
  <r>
    <x v="0"/>
    <d v="2020-04-01T00:00:00"/>
    <n v="401.37"/>
    <n v="1045"/>
    <n v="2.6035827291526523"/>
    <n v="0.38408612440191386"/>
    <x v="5"/>
  </r>
  <r>
    <x v="0"/>
    <d v="2020-05-01T00:00:00"/>
    <n v="400.15"/>
    <n v="1045"/>
    <n v="2.6115206797450958"/>
    <n v="0.38291866028708132"/>
    <x v="5"/>
  </r>
  <r>
    <x v="0"/>
    <d v="2020-06-01T00:00:00"/>
    <n v="420.03"/>
    <n v="1045"/>
    <n v="2.4879175297002596"/>
    <n v="0.40194258373205738"/>
    <x v="5"/>
  </r>
  <r>
    <x v="0"/>
    <d v="2020-07-01T00:00:00"/>
    <n v="392.75"/>
    <n v="1045"/>
    <n v="2.6607256524506684"/>
    <n v="0.37583732057416269"/>
    <x v="5"/>
  </r>
  <r>
    <x v="0"/>
    <d v="2020-08-01T00:00:00"/>
    <n v="398.47"/>
    <n v="1045"/>
    <n v="2.6225311817702712"/>
    <n v="0.38131100478468904"/>
    <x v="5"/>
  </r>
  <r>
    <x v="0"/>
    <d v="2020-09-01T00:00:00"/>
    <n v="427.11"/>
    <n v="1045"/>
    <n v="2.4466765001990121"/>
    <n v="0.40871770334928231"/>
    <x v="5"/>
  </r>
  <r>
    <x v="0"/>
    <d v="2020-10-01T00:00:00"/>
    <n v="442.26"/>
    <n v="1045"/>
    <n v="2.3628634739745853"/>
    <n v="0.42321531100478466"/>
    <x v="5"/>
  </r>
  <r>
    <x v="0"/>
    <d v="2020-11-01T00:00:00"/>
    <n v="451.32"/>
    <n v="1045"/>
    <n v="2.3154302933616946"/>
    <n v="0.43188516746411482"/>
    <x v="5"/>
  </r>
  <r>
    <x v="0"/>
    <d v="2020-12-01T00:00:00"/>
    <n v="453.16"/>
    <n v="1045"/>
    <n v="2.3060287757083588"/>
    <n v="0.43364593301435411"/>
    <x v="5"/>
  </r>
  <r>
    <x v="0"/>
    <d v="2021-01-01T00:00:00"/>
    <n v="450.84"/>
    <n v="1100"/>
    <n v="2.4398899831425784"/>
    <n v="0.40985454545454542"/>
    <x v="6"/>
  </r>
  <r>
    <x v="0"/>
    <d v="2021-02-01T00:00:00"/>
    <n v="445.9"/>
    <n v="1100"/>
    <n v="2.4669208342677731"/>
    <n v="0.40536363636363637"/>
    <x v="6"/>
  </r>
  <r>
    <x v="0"/>
    <d v="2021-03-01T00:00:00"/>
    <n v="468.79"/>
    <n v="1100"/>
    <n v="2.346466434864225"/>
    <n v="0.42617272727272731"/>
    <x v="6"/>
  </r>
  <r>
    <x v="0"/>
    <d v="2021-04-01T00:00:00"/>
    <n v="469.66"/>
    <n v="1100"/>
    <n v="2.3421198313673721"/>
    <n v="0.42696363636363638"/>
    <x v="6"/>
  </r>
  <r>
    <x v="0"/>
    <d v="2021-05-01T00:00:00"/>
    <n v="468.43"/>
    <n v="1100"/>
    <n v="2.3482697521508014"/>
    <n v="0.42584545454545453"/>
    <x v="6"/>
  </r>
  <r>
    <x v="0"/>
    <d v="2021-06-01T00:00:00"/>
    <n v="470.97"/>
    <n v="1100"/>
    <n v="2.3356052402488481"/>
    <n v="0.42815454545454545"/>
    <x v="6"/>
  </r>
  <r>
    <x v="0"/>
    <d v="2021-07-01T00:00:00"/>
    <n v="488.42"/>
    <n v="1100"/>
    <n v="2.252160026206953"/>
    <n v="0.44401818181818181"/>
    <x v="6"/>
  </r>
  <r>
    <x v="0"/>
    <d v="2021-08-01T00:00:00"/>
    <n v="456.4"/>
    <n v="1100"/>
    <n v="2.4101665205959684"/>
    <n v="0.41490909090909089"/>
    <x v="6"/>
  </r>
  <r>
    <x v="0"/>
    <d v="2021-09-01T00:00:00"/>
    <n v="454.03"/>
    <n v="1100"/>
    <n v="2.4227473955465499"/>
    <n v="0.41275454545454543"/>
    <x v="6"/>
  </r>
  <r>
    <x v="0"/>
    <d v="2021-10-01T00:00:00"/>
    <n v="464.17"/>
    <n v="1100"/>
    <n v="2.3698214016416399"/>
    <n v="0.42197272727272728"/>
    <x v="6"/>
  </r>
  <r>
    <x v="0"/>
    <d v="2021-11-01T00:00:00"/>
    <n v="473.26"/>
    <n v="1100"/>
    <n v="2.3243037653720999"/>
    <n v="0.43023636363636364"/>
    <x v="6"/>
  </r>
  <r>
    <x v="0"/>
    <d v="2021-12-01T00:00:00"/>
    <n v="478.05"/>
    <n v="1100"/>
    <n v="2.3010145382282188"/>
    <n v="0.43459090909090908"/>
    <x v="6"/>
  </r>
  <r>
    <x v="0"/>
    <d v="2022-01-01T00:00:00"/>
    <n v="507.82"/>
    <n v="1212"/>
    <n v="2.3866724429916113"/>
    <n v="0.41899339933993401"/>
    <x v="7"/>
  </r>
  <r>
    <x v="0"/>
    <d v="2022-02-01T00:00:00"/>
    <n v="516.82000000000005"/>
    <n v="1212"/>
    <n v="2.3451104833404277"/>
    <n v="0.42641914191419145"/>
    <x v="7"/>
  </r>
  <r>
    <x v="0"/>
    <d v="2022-03-01T00:00:00"/>
    <n v="524.99"/>
    <n v="1212"/>
    <n v="2.3086154021981371"/>
    <n v="0.43316006600660067"/>
    <x v="7"/>
  </r>
  <r>
    <x v="0"/>
    <d v="2022-04-01T00:00:00"/>
    <n v="551.47"/>
    <n v="1212"/>
    <n v="2.197762344279834"/>
    <n v="0.45500825082508251"/>
    <x v="7"/>
  </r>
  <r>
    <x v="0"/>
    <d v="2022-05-01T00:00:00"/>
    <n v="548.38"/>
    <n v="1212"/>
    <n v="2.2101462489514572"/>
    <n v="0.45245874587458745"/>
    <x v="7"/>
  </r>
  <r>
    <x v="0"/>
    <d v="2022-06-01T00:00:00"/>
    <n v="549.91"/>
    <n v="1212"/>
    <n v="2.2039970176938044"/>
    <n v="0.45372112211221122"/>
    <x v="7"/>
  </r>
  <r>
    <x v="0"/>
    <d v="2022-07-01T00:00:00"/>
    <n v="542.5"/>
    <n v="1212"/>
    <n v="2.2341013824884794"/>
    <n v="0.4476072607260726"/>
    <x v="7"/>
  </r>
  <r>
    <x v="0"/>
    <d v="2022-08-01T00:00:00"/>
    <n v="539.57000000000005"/>
    <n v="1212"/>
    <n v="2.2462331115517911"/>
    <n v="0.44518976897689772"/>
    <x v="7"/>
  </r>
  <r>
    <x v="0"/>
    <d v="2022-09-01T00:00:00"/>
    <n v="518.67999999999995"/>
    <n v="1212"/>
    <n v="2.3367008560191258"/>
    <n v="0.42795379537953793"/>
    <x v="7"/>
  </r>
  <r>
    <x v="0"/>
    <d v="2022-10-01T00:00:00"/>
    <n v="515.51"/>
    <n v="1212"/>
    <n v="2.3510698143585964"/>
    <n v="0.42533828382838285"/>
    <x v="7"/>
  </r>
  <r>
    <x v="0"/>
    <d v="2022-11-01T00:00:00"/>
    <n v="511.97"/>
    <n v="1212"/>
    <n v="2.3673262105201474"/>
    <n v="0.42241749174917492"/>
    <x v="7"/>
  </r>
  <r>
    <x v="0"/>
    <d v="2022-12-01T00:00:00"/>
    <n v="521.04999999999995"/>
    <n v="1212"/>
    <n v="2.3260723539007775"/>
    <n v="0.42990924092409238"/>
    <x v="7"/>
  </r>
  <r>
    <x v="0"/>
    <d v="2023-01-01T00:00:00"/>
    <n v="555.28"/>
    <n v="1302"/>
    <n v="2.344763002449215"/>
    <n v="0.4264823348694316"/>
    <x v="8"/>
  </r>
  <r>
    <x v="0"/>
    <d v="2023-02-01T00:00:00"/>
    <n v="552.97"/>
    <n v="1302"/>
    <n v="2.3545581134600431"/>
    <n v="0.42470814132104456"/>
    <x v="8"/>
  </r>
  <r>
    <x v="0"/>
    <d v="2023-03-01T00:00:00"/>
    <n v="546.14"/>
    <n v="1302"/>
    <n v="2.3840041015124327"/>
    <n v="0.41946236559139782"/>
    <x v="8"/>
  </r>
  <r>
    <x v="0"/>
    <d v="2023-04-01T00:00:00"/>
    <n v="553.89"/>
    <n v="1302"/>
    <n v="2.3506472404267997"/>
    <n v="0.42541474654377881"/>
    <x v="8"/>
  </r>
  <r>
    <x v="0"/>
    <d v="2023-05-01T00:00:00"/>
    <n v="553.76"/>
    <n v="1320"/>
    <n v="2.3837041317538286"/>
    <n v="0.41951515151515151"/>
    <x v="8"/>
  </r>
  <r>
    <x v="0"/>
    <d v="2023-06-01T00:00:00"/>
    <n v="567.11"/>
    <n v="1320"/>
    <n v="2.3275907672232901"/>
    <n v="0.42962878787878789"/>
    <x v="8"/>
  </r>
  <r>
    <x v="0"/>
    <d v="2023-07-01T00:00:00"/>
    <n v="547.22"/>
    <n v="1320"/>
    <n v="2.4121925368224844"/>
    <n v="0.41456060606060607"/>
    <x v="8"/>
  </r>
  <r>
    <x v="0"/>
    <d v="2023-08-01T00:00:00"/>
    <n v="542.66999999999996"/>
    <n v="1320"/>
    <n v="2.4324174912930512"/>
    <n v="0.41111363636363635"/>
    <x v="8"/>
  </r>
  <r>
    <x v="0"/>
    <d v="2023-09-01T00:00:00"/>
    <n v="532.34"/>
    <n v="1320"/>
    <n v="2.4796182890633802"/>
    <n v="0.40328787878787881"/>
    <x v="8"/>
  </r>
  <r>
    <x v="0"/>
    <d v="2023-10-01T00:00:00"/>
    <n v="521.96"/>
    <n v="1320"/>
    <n v="2.5289294198789176"/>
    <n v="0.39542424242424246"/>
    <x v="8"/>
  </r>
  <r>
    <x v="0"/>
    <d v="2023-11-01T00:00:00"/>
    <n v="516.76"/>
    <n v="1320"/>
    <n v="2.5543772737828006"/>
    <n v="0.39148484848484849"/>
    <x v="8"/>
  </r>
  <r>
    <x v="0"/>
    <d v="2023-12-01T00:00:00"/>
    <n v="517.26"/>
    <n v="1320"/>
    <n v="2.5519081313072731"/>
    <n v="0.39186363636363636"/>
    <x v="8"/>
  </r>
  <r>
    <x v="0"/>
    <d v="2024-01-01T00:00:00"/>
    <n v="528.48"/>
    <n v="1412"/>
    <n v="2.6718135028761729"/>
    <n v="0.37427762039660056"/>
    <x v="9"/>
  </r>
  <r>
    <x v="0"/>
    <d v="2024-02-01T00:00:00"/>
    <n v="534.4"/>
    <n v="1412"/>
    <n v="2.6422155688622757"/>
    <n v="0.37847025495750708"/>
    <x v="9"/>
  </r>
  <r>
    <x v="0"/>
    <d v="2024-03-01T00:00:00"/>
    <n v="555.22"/>
    <n v="1412"/>
    <n v="2.5431360541767227"/>
    <n v="0.39321529745042494"/>
    <x v="9"/>
  </r>
  <r>
    <x v="0"/>
    <d v="2024-04-01T00:00:00"/>
    <n v="582.11"/>
    <n v="1412"/>
    <n v="2.4256583807184207"/>
    <n v="0.41225920679886685"/>
    <x v="9"/>
  </r>
  <r>
    <x v="0"/>
    <d v="2024-05-01T00:00:00"/>
    <n v="579.54999999999995"/>
    <n v="1412"/>
    <n v="2.4363730480545254"/>
    <n v="0.41044617563739372"/>
    <x v="9"/>
  </r>
  <r>
    <x v="0"/>
    <d v="2024-06-01T00:00:00"/>
    <n v="561.96"/>
    <n v="1412"/>
    <n v="2.5126343511993734"/>
    <n v="0.39798866855524084"/>
    <x v="9"/>
  </r>
  <r>
    <x v="0"/>
    <d v="2024-07-01T00:00:00"/>
    <n v="524.28"/>
    <n v="1412"/>
    <n v="2.6932173647669186"/>
    <n v="0.37130311614730876"/>
    <x v="9"/>
  </r>
  <r>
    <x v="0"/>
    <d v="2024-08-01T00:00:00"/>
    <n v="516.4"/>
    <n v="1412"/>
    <n v="2.7343144848954299"/>
    <n v="0.36572237960339943"/>
    <x v="9"/>
  </r>
  <r>
    <x v="0"/>
    <d v="2024-09-01T00:00:00"/>
    <n v="506.19"/>
    <n v="1412"/>
    <n v="2.7894664058950198"/>
    <n v="0.3584915014164306"/>
    <x v="9"/>
  </r>
  <r>
    <x v="0"/>
    <d v="2024-10-01T00:00:00"/>
    <n v="519.30999999999995"/>
    <n v="1412"/>
    <n v="2.7189925092911751"/>
    <n v="0.36778328611898015"/>
    <x v="9"/>
  </r>
  <r>
    <x v="0"/>
    <d v="2024-11-01T00:00:00"/>
    <n v="533.26"/>
    <n v="1412"/>
    <n v="2.6478640813111802"/>
    <n v="0.37766288951841359"/>
    <x v="9"/>
  </r>
  <r>
    <x v="0"/>
    <d v="2024-12-01T00:00:00"/>
    <n v="554.08000000000004"/>
    <n v="1412"/>
    <n v="2.5483684666474153"/>
    <n v="0.39240793201133145"/>
    <x v="9"/>
  </r>
  <r>
    <x v="0"/>
    <d v="2025-01-01T00:00:00"/>
    <n v="571.42999999999995"/>
    <n v="1518"/>
    <n v="2.6564933587666033"/>
    <n v="0.37643610013175227"/>
    <x v="10"/>
  </r>
  <r>
    <x v="0"/>
    <d v="2025-02-01T00:00:00"/>
    <n v="580.45000000000005"/>
    <n v="1518"/>
    <n v="2.6152123352571279"/>
    <n v="0.3823781291172596"/>
    <x v="10"/>
  </r>
  <r>
    <x v="0"/>
    <d v="2025-03-01T00:00:00"/>
    <n v="569.48"/>
    <n v="1518"/>
    <n v="2.6655896607431342"/>
    <n v="0.37515151515151518"/>
    <x v="10"/>
  </r>
  <r>
    <x v="0"/>
    <d v="2025-04-01T00:00:00"/>
    <n v="579.92999999999995"/>
    <n v="1518"/>
    <n v="2.617557291397238"/>
    <n v="0.38203557312252961"/>
    <x v="10"/>
  </r>
  <r>
    <x v="0"/>
    <d v="2025-05-01T00:00:00"/>
    <n v="579.54"/>
    <n v="1518"/>
    <n v="2.6193187700590124"/>
    <n v="0.38177865612648221"/>
    <x v="10"/>
  </r>
  <r>
    <x v="0"/>
    <d v="2025-06-01T00:00:00"/>
    <n v="557.28"/>
    <n v="1518"/>
    <n v="2.7239448751076658"/>
    <n v="0.36711462450592885"/>
    <x v="10"/>
  </r>
  <r>
    <x v="1"/>
    <d v="2015-01-01T00:00:00"/>
    <n v="337.57"/>
    <n v="788"/>
    <n v="2.3343306573451432"/>
    <n v="0.42838832487309642"/>
    <x v="0"/>
  </r>
  <r>
    <x v="1"/>
    <d v="2015-02-01T00:00:00"/>
    <n v="341.72"/>
    <n v="788"/>
    <n v="2.3059815053259975"/>
    <n v="0.43365482233502539"/>
    <x v="0"/>
  </r>
  <r>
    <x v="1"/>
    <d v="2015-03-01T00:00:00"/>
    <n v="343.22"/>
    <n v="788"/>
    <n v="2.2959035021269156"/>
    <n v="0.43555837563451782"/>
    <x v="0"/>
  </r>
  <r>
    <x v="1"/>
    <d v="2015-04-01T00:00:00"/>
    <n v="348.36"/>
    <n v="788"/>
    <n v="2.262027787346423"/>
    <n v="0.44208121827411168"/>
    <x v="0"/>
  </r>
  <r>
    <x v="1"/>
    <d v="2015-05-01T00:00:00"/>
    <n v="355.92"/>
    <n v="788"/>
    <n v="2.213980669813441"/>
    <n v="0.45167512690355333"/>
    <x v="0"/>
  </r>
  <r>
    <x v="1"/>
    <d v="2015-06-01T00:00:00"/>
    <n v="338.76"/>
    <n v="788"/>
    <n v="2.3261305939308063"/>
    <n v="0.4298984771573604"/>
    <x v="0"/>
  </r>
  <r>
    <x v="1"/>
    <d v="2015-07-01T00:00:00"/>
    <n v="345.02"/>
    <n v="788"/>
    <n v="2.2839255695322009"/>
    <n v="0.43784263959390862"/>
    <x v="0"/>
  </r>
  <r>
    <x v="1"/>
    <d v="2015-08-01T00:00:00"/>
    <n v="337.42"/>
    <n v="788"/>
    <n v="2.3353683836168573"/>
    <n v="0.42819796954314721"/>
    <x v="0"/>
  </r>
  <r>
    <x v="1"/>
    <d v="2015-09-01T00:00:00"/>
    <n v="338.19"/>
    <n v="788"/>
    <n v="2.3300511546763656"/>
    <n v="0.42917512690355331"/>
    <x v="0"/>
  </r>
  <r>
    <x v="1"/>
    <d v="2015-10-01T00:00:00"/>
    <n v="338.61"/>
    <n v="788"/>
    <n v="2.327161040725318"/>
    <n v="0.42970812182741119"/>
    <x v="0"/>
  </r>
  <r>
    <x v="1"/>
    <d v="2015-11-01T00:00:00"/>
    <n v="362.19"/>
    <n v="788"/>
    <n v="2.1756536624423646"/>
    <n v="0.45963197969543146"/>
    <x v="0"/>
  </r>
  <r>
    <x v="1"/>
    <d v="2015-12-01T00:00:00"/>
    <n v="376.91"/>
    <n v="788"/>
    <n v="2.0906847788596745"/>
    <n v="0.47831218274111681"/>
    <x v="0"/>
  </r>
  <r>
    <x v="1"/>
    <d v="2016-01-01T00:00:00"/>
    <n v="417.72"/>
    <n v="880"/>
    <n v="2.1066743273005839"/>
    <n v="0.4746818181818182"/>
    <x v="1"/>
  </r>
  <r>
    <x v="1"/>
    <d v="2016-02-01T00:00:00"/>
    <n v="400.29"/>
    <n v="880"/>
    <n v="2.1984061555372354"/>
    <n v="0.45487500000000003"/>
    <x v="1"/>
  </r>
  <r>
    <x v="1"/>
    <d v="2016-03-01T00:00:00"/>
    <n v="408.84"/>
    <n v="880"/>
    <n v="2.1524312689560712"/>
    <n v="0.46459090909090905"/>
    <x v="1"/>
  </r>
  <r>
    <x v="1"/>
    <d v="2016-04-01T00:00:00"/>
    <n v="399.24"/>
    <n v="880"/>
    <n v="2.204187957118525"/>
    <n v="0.45368181818181819"/>
    <x v="1"/>
  </r>
  <r>
    <x v="1"/>
    <d v="2016-05-01T00:00:00"/>
    <n v="408.5"/>
    <n v="880"/>
    <n v="2.1542227662178703"/>
    <n v="0.46420454545454548"/>
    <x v="1"/>
  </r>
  <r>
    <x v="1"/>
    <d v="2016-06-01T00:00:00"/>
    <n v="425.82"/>
    <n v="880"/>
    <n v="2.0666009111831292"/>
    <n v="0.48388636363636361"/>
    <x v="1"/>
  </r>
  <r>
    <x v="1"/>
    <d v="2016-07-01T00:00:00"/>
    <n v="423.1"/>
    <n v="880"/>
    <n v="2.0798865516426375"/>
    <n v="0.48079545454545458"/>
    <x v="1"/>
  </r>
  <r>
    <x v="1"/>
    <d v="2016-08-01T00:00:00"/>
    <n v="429.64"/>
    <n v="880"/>
    <n v="2.0482264221208455"/>
    <n v="0.48822727272727273"/>
    <x v="1"/>
  </r>
  <r>
    <x v="1"/>
    <d v="2016-09-01T00:00:00"/>
    <n v="421.55"/>
    <n v="880"/>
    <n v="2.0875341003439685"/>
    <n v="0.47903409090909094"/>
    <x v="1"/>
  </r>
  <r>
    <x v="1"/>
    <d v="2016-10-01T00:00:00"/>
    <n v="418.47"/>
    <n v="880"/>
    <n v="2.1028986546227926"/>
    <n v="0.47553409090909093"/>
    <x v="1"/>
  </r>
  <r>
    <x v="1"/>
    <d v="2016-11-01T00:00:00"/>
    <n v="400.9"/>
    <n v="880"/>
    <n v="2.195061112496882"/>
    <n v="0.45556818181818182"/>
    <x v="1"/>
  </r>
  <r>
    <x v="1"/>
    <d v="2016-12-01T00:00:00"/>
    <n v="394.66"/>
    <n v="880"/>
    <n v="2.2297673947195054"/>
    <n v="0.44847727272727278"/>
    <x v="1"/>
  </r>
  <r>
    <x v="1"/>
    <d v="2017-01-01T00:00:00"/>
    <n v="389.69"/>
    <n v="937"/>
    <n v="2.4044753522030331"/>
    <n v="0.41589114194236926"/>
    <x v="2"/>
  </r>
  <r>
    <x v="1"/>
    <d v="2017-02-01T00:00:00"/>
    <n v="377.66"/>
    <n v="937"/>
    <n v="2.4810676269660541"/>
    <n v="0.40305229455709712"/>
    <x v="2"/>
  </r>
  <r>
    <x v="1"/>
    <d v="2017-03-01T00:00:00"/>
    <n v="385.57"/>
    <n v="937"/>
    <n v="2.4301683222242394"/>
    <n v="0.41149413020277481"/>
    <x v="2"/>
  </r>
  <r>
    <x v="1"/>
    <d v="2017-04-01T00:00:00"/>
    <n v="397.36"/>
    <n v="937"/>
    <n v="2.3580632172337426"/>
    <n v="0.424076840981857"/>
    <x v="2"/>
  </r>
  <r>
    <x v="1"/>
    <d v="2017-05-01T00:00:00"/>
    <n v="390.6"/>
    <n v="937"/>
    <n v="2.3988735279057858"/>
    <n v="0.41686232657417294"/>
    <x v="2"/>
  </r>
  <r>
    <x v="1"/>
    <d v="2017-06-01T00:00:00"/>
    <n v="374.87"/>
    <n v="937"/>
    <n v="2.4995331714994533"/>
    <n v="0.40007470651013877"/>
    <x v="2"/>
  </r>
  <r>
    <x v="1"/>
    <d v="2017-07-01T00:00:00"/>
    <n v="383.69"/>
    <n v="937"/>
    <n v="2.4420756339753447"/>
    <n v="0.40948772678762008"/>
    <x v="2"/>
  </r>
  <r>
    <x v="1"/>
    <d v="2017-08-01T00:00:00"/>
    <n v="365.05"/>
    <n v="937"/>
    <n v="2.5667716751129981"/>
    <n v="0.38959445037353257"/>
    <x v="2"/>
  </r>
  <r>
    <x v="1"/>
    <d v="2017-09-01T00:00:00"/>
    <n v="361.82"/>
    <n v="937"/>
    <n v="2.5896854789674424"/>
    <n v="0.38614727854855924"/>
    <x v="2"/>
  </r>
  <r>
    <x v="1"/>
    <d v="2017-10-01T00:00:00"/>
    <n v="365.89"/>
    <n v="937"/>
    <n v="2.5608789526906994"/>
    <n v="0.3904909284951974"/>
    <x v="2"/>
  </r>
  <r>
    <x v="1"/>
    <d v="2017-11-01T00:00:00"/>
    <n v="359.71"/>
    <n v="937"/>
    <n v="2.6048761502321316"/>
    <n v="0.38389541088580575"/>
    <x v="2"/>
  </r>
  <r>
    <x v="1"/>
    <d v="2017-12-01T00:00:00"/>
    <n v="361.61"/>
    <n v="937"/>
    <n v="2.5911894029479274"/>
    <n v="0.385923159018143"/>
    <x v="2"/>
  </r>
  <r>
    <x v="1"/>
    <d v="2018-01-01T00:00:00"/>
    <n v="380.02"/>
    <n v="954"/>
    <n v="2.5103941897794853"/>
    <n v="0.3983438155136268"/>
    <x v="3"/>
  </r>
  <r>
    <x v="1"/>
    <d v="2018-02-01T00:00:00"/>
    <n v="381.9"/>
    <n v="954"/>
    <n v="2.4980361351139044"/>
    <n v="0.400314465408805"/>
    <x v="3"/>
  </r>
  <r>
    <x v="1"/>
    <d v="2018-03-01T00:00:00"/>
    <n v="378.13"/>
    <n v="954"/>
    <n v="2.5229418453970855"/>
    <n v="0.39636268343815512"/>
    <x v="3"/>
  </r>
  <r>
    <x v="1"/>
    <d v="2018-04-01T00:00:00"/>
    <n v="376.58"/>
    <n v="954"/>
    <n v="2.5333262520579956"/>
    <n v="0.39473794549266245"/>
    <x v="3"/>
  </r>
  <r>
    <x v="1"/>
    <d v="2018-05-01T00:00:00"/>
    <n v="375.11"/>
    <n v="954"/>
    <n v="2.5432539788328756"/>
    <n v="0.39319706498951784"/>
    <x v="3"/>
  </r>
  <r>
    <x v="1"/>
    <d v="2018-06-01T00:00:00"/>
    <n v="373.92"/>
    <n v="954"/>
    <n v="2.5513478818998716"/>
    <n v="0.3919496855345912"/>
    <x v="3"/>
  </r>
  <r>
    <x v="1"/>
    <d v="2018-07-01T00:00:00"/>
    <n v="363.28"/>
    <n v="954"/>
    <n v="2.6260735520810394"/>
    <n v="0.38079664570230604"/>
    <x v="3"/>
  </r>
  <r>
    <x v="1"/>
    <d v="2018-08-01T00:00:00"/>
    <n v="357.93"/>
    <n v="954"/>
    <n v="2.6653256223283881"/>
    <n v="0.37518867924528304"/>
    <x v="3"/>
  </r>
  <r>
    <x v="1"/>
    <d v="2018-09-01T00:00:00"/>
    <n v="358.83"/>
    <n v="954"/>
    <n v="2.6586405818911465"/>
    <n v="0.37613207547169808"/>
    <x v="3"/>
  </r>
  <r>
    <x v="1"/>
    <d v="2018-10-01T00:00:00"/>
    <n v="372.77"/>
    <n v="954"/>
    <n v="2.5592188212570757"/>
    <n v="0.39074423480083853"/>
    <x v="3"/>
  </r>
  <r>
    <x v="1"/>
    <d v="2018-11-01T00:00:00"/>
    <n v="401.9"/>
    <n v="954"/>
    <n v="2.3737248071659618"/>
    <n v="0.42127882599580713"/>
    <x v="3"/>
  </r>
  <r>
    <x v="1"/>
    <d v="2018-12-01T00:00:00"/>
    <n v="408.71"/>
    <n v="954"/>
    <n v="2.3341733747645033"/>
    <n v="0.4284171907756813"/>
    <x v="3"/>
  </r>
  <r>
    <x v="1"/>
    <d v="2019-01-01T00:00:00"/>
    <n v="405.4"/>
    <n v="998"/>
    <n v="2.4617661568820921"/>
    <n v="0.40621242484969938"/>
    <x v="4"/>
  </r>
  <r>
    <x v="1"/>
    <d v="2019-02-01T00:00:00"/>
    <n v="425"/>
    <n v="998"/>
    <n v="2.348235294117647"/>
    <n v="0.42585170340681361"/>
    <x v="4"/>
  </r>
  <r>
    <x v="1"/>
    <d v="2019-03-01T00:00:00"/>
    <n v="443.26"/>
    <n v="998"/>
    <n v="2.2515002481613502"/>
    <n v="0.44414829659318639"/>
    <x v="4"/>
  </r>
  <r>
    <x v="1"/>
    <d v="2019-04-01T00:00:00"/>
    <n v="456.91"/>
    <n v="998"/>
    <n v="2.1842375960254752"/>
    <n v="0.45782565130260522"/>
    <x v="4"/>
  </r>
  <r>
    <x v="1"/>
    <d v="2019-05-01T00:00:00"/>
    <n v="424.85"/>
    <n v="998"/>
    <n v="2.3490643756619982"/>
    <n v="0.42570140280561125"/>
    <x v="4"/>
  </r>
  <r>
    <x v="1"/>
    <d v="2019-06-01T00:00:00"/>
    <n v="429.3"/>
    <n v="998"/>
    <n v="2.324714651758677"/>
    <n v="0.43016032064128257"/>
    <x v="4"/>
  </r>
  <r>
    <x v="1"/>
    <d v="2019-07-01T00:00:00"/>
    <n v="415.03"/>
    <n v="998"/>
    <n v="2.4046454473170615"/>
    <n v="0.41586172344689376"/>
    <x v="4"/>
  </r>
  <r>
    <x v="1"/>
    <d v="2019-08-01T00:00:00"/>
    <n v="401.14"/>
    <n v="998"/>
    <n v="2.4879094580445731"/>
    <n v="0.40194388777555107"/>
    <x v="4"/>
  </r>
  <r>
    <x v="1"/>
    <d v="2019-09-01T00:00:00"/>
    <n v="390.93"/>
    <n v="998"/>
    <n v="2.5528867060599083"/>
    <n v="0.39171342685370741"/>
    <x v="4"/>
  </r>
  <r>
    <x v="1"/>
    <d v="2019-10-01T00:00:00"/>
    <n v="391.85"/>
    <n v="998"/>
    <n v="2.5468929437284675"/>
    <n v="0.39263527054108216"/>
    <x v="4"/>
  </r>
  <r>
    <x v="1"/>
    <d v="2019-11-01T00:00:00"/>
    <n v="393.58"/>
    <n v="998"/>
    <n v="2.5356979521317142"/>
    <n v="0.39436873747494988"/>
    <x v="4"/>
  </r>
  <r>
    <x v="1"/>
    <d v="2019-12-01T00:00:00"/>
    <n v="444.91"/>
    <n v="998"/>
    <n v="2.2431503000606865"/>
    <n v="0.44580160320641288"/>
    <x v="4"/>
  </r>
  <r>
    <x v="1"/>
    <d v="2020-01-01T00:00:00"/>
    <n v="456.35"/>
    <n v="1039"/>
    <n v="2.2767612578065082"/>
    <n v="0.43922040423484121"/>
    <x v="5"/>
  </r>
  <r>
    <x v="1"/>
    <d v="2020-02-01T00:00:00"/>
    <n v="459.1"/>
    <n v="1045"/>
    <n v="2.2761925506425613"/>
    <n v="0.4393301435406699"/>
    <x v="5"/>
  </r>
  <r>
    <x v="1"/>
    <d v="2020-03-01T00:00:00"/>
    <n v="461.28"/>
    <n v="1045"/>
    <n v="2.2654353104405134"/>
    <n v="0.44141626794258371"/>
    <x v="5"/>
  </r>
  <r>
    <x v="1"/>
    <d v="2020-04-01T00:00:00"/>
    <n v="484.55"/>
    <n v="1045"/>
    <n v="2.1566401816118046"/>
    <n v="0.46368421052631581"/>
    <x v="5"/>
  </r>
  <r>
    <x v="1"/>
    <d v="2020-05-01T00:00:00"/>
    <n v="484.02"/>
    <n v="1045"/>
    <n v="2.15900169414487"/>
    <n v="0.46317703349282296"/>
    <x v="5"/>
  </r>
  <r>
    <x v="1"/>
    <d v="2020-06-01T00:00:00"/>
    <n v="475.19"/>
    <n v="1045"/>
    <n v="2.1991203518592561"/>
    <n v="0.4547272727272727"/>
    <x v="5"/>
  </r>
  <r>
    <x v="1"/>
    <d v="2020-07-01T00:00:00"/>
    <n v="465.06"/>
    <n v="1045"/>
    <n v="2.2470218896486474"/>
    <n v="0.4450334928229665"/>
    <x v="5"/>
  </r>
  <r>
    <x v="1"/>
    <d v="2020-08-01T00:00:00"/>
    <n v="478.07"/>
    <n v="1045"/>
    <n v="2.1858723617880229"/>
    <n v="0.45748325358851671"/>
    <x v="5"/>
  </r>
  <r>
    <x v="1"/>
    <d v="2020-09-01T00:00:00"/>
    <n v="491.62"/>
    <n v="1045"/>
    <n v="2.1256254830967007"/>
    <n v="0.47044976076555023"/>
    <x v="5"/>
  </r>
  <r>
    <x v="1"/>
    <d v="2020-10-01T00:00:00"/>
    <n v="516.82000000000005"/>
    <n v="1045"/>
    <n v="2.0219805735072169"/>
    <n v="0.49456459330143543"/>
    <x v="5"/>
  </r>
  <r>
    <x v="1"/>
    <d v="2020-11-01T00:00:00"/>
    <n v="552.37"/>
    <n v="1045"/>
    <n v="1.8918478556040335"/>
    <n v="0.52858373205741627"/>
    <x v="5"/>
  </r>
  <r>
    <x v="1"/>
    <d v="2020-12-01T00:00:00"/>
    <n v="568.53"/>
    <n v="1045"/>
    <n v="1.8380736284804673"/>
    <n v="0.54404784688995211"/>
    <x v="5"/>
  </r>
  <r>
    <x v="1"/>
    <d v="2021-01-01T00:00:00"/>
    <n v="592.26"/>
    <n v="1100"/>
    <n v="1.8572924053625097"/>
    <n v="0.5384181818181818"/>
    <x v="6"/>
  </r>
  <r>
    <x v="1"/>
    <d v="2021-02-01T00:00:00"/>
    <n v="573.53"/>
    <n v="1100"/>
    <n v="1.9179467508238455"/>
    <n v="0.52139090909090902"/>
    <x v="6"/>
  </r>
  <r>
    <x v="1"/>
    <d v="2021-03-01T00:00:00"/>
    <n v="555.66999999999996"/>
    <n v="1100"/>
    <n v="1.979592204005975"/>
    <n v="0.50515454545454541"/>
    <x v="6"/>
  </r>
  <r>
    <x v="1"/>
    <d v="2021-04-01T00:00:00"/>
    <n v="565.78"/>
    <n v="1100"/>
    <n v="1.9442186008695961"/>
    <n v="0.51434545454545455"/>
    <x v="6"/>
  </r>
  <r>
    <x v="1"/>
    <d v="2021-06-01T00:00:00"/>
    <n v="532.01"/>
    <n v="1100"/>
    <n v="2.0676303077009832"/>
    <n v="0.48364545454545455"/>
    <x v="6"/>
  </r>
  <r>
    <x v="1"/>
    <d v="2021-07-01T00:00:00"/>
    <n v="549.49"/>
    <n v="1100"/>
    <n v="2.0018562667200497"/>
    <n v="0.49953636363636367"/>
    <x v="6"/>
  </r>
  <r>
    <x v="1"/>
    <d v="2021-08-01T00:00:00"/>
    <n v="562.95000000000005"/>
    <n v="1100"/>
    <n v="1.9539923616662225"/>
    <n v="0.51177272727272727"/>
    <x v="6"/>
  </r>
  <r>
    <x v="1"/>
    <d v="2021-09-01T00:00:00"/>
    <n v="582.61"/>
    <n v="1100"/>
    <n v="1.888055474502669"/>
    <n v="0.52964545454545453"/>
    <x v="6"/>
  </r>
  <r>
    <x v="1"/>
    <d v="2021-10-01T00:00:00"/>
    <n v="598.79"/>
    <n v="1100"/>
    <n v="1.8370380266871524"/>
    <n v="0.54435454545454542"/>
    <x v="6"/>
  </r>
  <r>
    <x v="1"/>
    <d v="2021-11-01T00:00:00"/>
    <n v="594.97"/>
    <n v="1100"/>
    <n v="1.8488327142545002"/>
    <n v="0.54088181818181824"/>
    <x v="6"/>
  </r>
  <r>
    <x v="1"/>
    <d v="2021-12-01T00:00:00"/>
    <n v="605.16"/>
    <n v="1100"/>
    <n v="1.8177011038403068"/>
    <n v="0.55014545454545449"/>
    <x v="6"/>
  </r>
  <r>
    <x v="1"/>
    <d v="2022-01-01T00:00:00"/>
    <n v="632.83000000000004"/>
    <n v="1212"/>
    <n v="1.915206295529605"/>
    <n v="0.52213696369636964"/>
    <x v="7"/>
  </r>
  <r>
    <x v="1"/>
    <d v="2022-02-01T00:00:00"/>
    <n v="642.01"/>
    <n v="1212"/>
    <n v="1.8878210619772278"/>
    <n v="0.52971122112211222"/>
    <x v="7"/>
  </r>
  <r>
    <x v="1"/>
    <d v="2022-03-01T00:00:00"/>
    <n v="669.47"/>
    <n v="1212"/>
    <n v="1.810387321313875"/>
    <n v="0.55236798679867993"/>
    <x v="7"/>
  </r>
  <r>
    <x v="1"/>
    <d v="2022-04-01T00:00:00"/>
    <n v="693.41"/>
    <n v="1212"/>
    <n v="1.7478836474812882"/>
    <n v="0.57212046204620459"/>
    <x v="7"/>
  </r>
  <r>
    <x v="1"/>
    <d v="2022-05-01T00:00:00"/>
    <n v="653.12"/>
    <n v="1212"/>
    <n v="1.8557079862812347"/>
    <n v="0.53887788778877888"/>
    <x v="7"/>
  </r>
  <r>
    <x v="1"/>
    <d v="2022-06-01T00:00:00"/>
    <n v="648.77"/>
    <n v="1212"/>
    <n v="1.8681505001772585"/>
    <n v="0.53528877887788773"/>
    <x v="7"/>
  </r>
  <r>
    <x v="1"/>
    <d v="2022-07-01T00:00:00"/>
    <n v="652.07000000000005"/>
    <n v="1212"/>
    <n v="1.8586961522535923"/>
    <n v="0.53801155115511556"/>
    <x v="7"/>
  </r>
  <r>
    <x v="1"/>
    <d v="2022-08-01T00:00:00"/>
    <n v="638.19000000000005"/>
    <n v="1212"/>
    <n v="1.8991209514407934"/>
    <n v="0.52655940594059414"/>
    <x v="7"/>
  </r>
  <r>
    <x v="1"/>
    <d v="2022-09-01T00:00:00"/>
    <n v="650.16"/>
    <n v="1212"/>
    <n v="1.864156515319306"/>
    <n v="0.53643564356435636"/>
    <x v="7"/>
  </r>
  <r>
    <x v="1"/>
    <d v="2022-10-01T00:00:00"/>
    <n v="662.37"/>
    <n v="1212"/>
    <n v="1.8297930159880429"/>
    <n v="0.546509900990099"/>
    <x v="7"/>
  </r>
  <r>
    <x v="1"/>
    <d v="2022-11-01T00:00:00"/>
    <n v="693.37"/>
    <n v="1212"/>
    <n v="1.7479844815899159"/>
    <n v="0.57208745874587463"/>
    <x v="7"/>
  </r>
  <r>
    <x v="1"/>
    <d v="2022-12-01T00:00:00"/>
    <n v="696.32"/>
    <n v="1212"/>
    <n v="1.740579044117647"/>
    <n v="0.57452145214521455"/>
    <x v="7"/>
  </r>
  <r>
    <x v="1"/>
    <d v="2023-01-01T00:00:00"/>
    <n v="707.93"/>
    <n v="1302"/>
    <n v="1.8391648891839589"/>
    <n v="0.54372503840245767"/>
    <x v="8"/>
  </r>
  <r>
    <x v="1"/>
    <d v="2023-02-01T00:00:00"/>
    <n v="679.86"/>
    <n v="1302"/>
    <n v="1.9151001676815815"/>
    <n v="0.5221658986175115"/>
    <x v="8"/>
  </r>
  <r>
    <x v="1"/>
    <d v="2023-03-01T00:00:00"/>
    <n v="654.57000000000005"/>
    <n v="1302"/>
    <n v="1.9890920757138273"/>
    <n v="0.50274193548387103"/>
    <x v="8"/>
  </r>
  <r>
    <x v="1"/>
    <d v="2023-04-01T00:00:00"/>
    <n v="668.96"/>
    <n v="1302"/>
    <n v="1.9463047117914374"/>
    <n v="0.51379416282642087"/>
    <x v="8"/>
  </r>
  <r>
    <x v="1"/>
    <d v="2023-05-01T00:00:00"/>
    <n v="666.82"/>
    <n v="1320"/>
    <n v="1.9795447047179147"/>
    <n v="0.50516666666666665"/>
    <x v="8"/>
  </r>
  <r>
    <x v="1"/>
    <d v="2023-06-01T00:00:00"/>
    <n v="656.02"/>
    <n v="1320"/>
    <n v="2.0121337764092559"/>
    <n v="0.49698484848484847"/>
    <x v="8"/>
  </r>
  <r>
    <x v="1"/>
    <d v="2023-07-01T00:00:00"/>
    <n v="652.78"/>
    <n v="1320"/>
    <n v="2.0221207757590611"/>
    <n v="0.49453030303030299"/>
    <x v="8"/>
  </r>
  <r>
    <x v="1"/>
    <d v="2023-08-01T00:00:00"/>
    <n v="646.02"/>
    <n v="1320"/>
    <n v="2.0432803937958579"/>
    <n v="0.4894090909090909"/>
    <x v="8"/>
  </r>
  <r>
    <x v="1"/>
    <d v="2023-09-01T00:00:00"/>
    <n v="633.78"/>
    <n v="1320"/>
    <n v="2.0827416453658998"/>
    <n v="0.48013636363636364"/>
    <x v="8"/>
  </r>
  <r>
    <x v="1"/>
    <d v="2023-10-01T00:00:00"/>
    <n v="627.72"/>
    <n v="1320"/>
    <n v="2.1028484037468935"/>
    <n v="0.47554545454545455"/>
    <x v="8"/>
  </r>
  <r>
    <x v="1"/>
    <d v="2023-11-01T00:00:00"/>
    <n v="639.67999999999995"/>
    <n v="1320"/>
    <n v="2.0635317658829417"/>
    <n v="0.4846060606060606"/>
    <x v="8"/>
  </r>
  <r>
    <x v="1"/>
    <d v="2023-12-01T00:00:00"/>
    <n v="656.29"/>
    <n v="1320"/>
    <n v="2.0113059775404167"/>
    <n v="0.49718939393939393"/>
    <x v="8"/>
  </r>
  <r>
    <x v="1"/>
    <d v="2024-01-01T00:00:00"/>
    <n v="724.73"/>
    <n v="1412"/>
    <n v="1.9483117850785809"/>
    <n v="0.51326487252124642"/>
    <x v="9"/>
  </r>
  <r>
    <x v="1"/>
    <d v="2024-02-01T00:00:00"/>
    <n v="727.46"/>
    <n v="1412"/>
    <n v="1.9410001924504439"/>
    <n v="0.51519830028328617"/>
    <x v="9"/>
  </r>
  <r>
    <x v="1"/>
    <d v="2024-03-01T00:00:00"/>
    <n v="712.51"/>
    <n v="1412"/>
    <n v="1.981726572258635"/>
    <n v="0.50461048158640232"/>
    <x v="9"/>
  </r>
  <r>
    <x v="1"/>
    <d v="2024-04-01T00:00:00"/>
    <n v="712.7"/>
    <n v="1412"/>
    <n v="1.9811982601375051"/>
    <n v="0.50474504249291785"/>
    <x v="9"/>
  </r>
  <r>
    <x v="1"/>
    <d v="2024-05-01T00:00:00"/>
    <n v="693.39"/>
    <n v="1412"/>
    <n v="2.0363720272862316"/>
    <n v="0.49106940509915015"/>
    <x v="9"/>
  </r>
  <r>
    <x v="1"/>
    <d v="2024-06-01T00:00:00"/>
    <n v="701.55"/>
    <n v="1412"/>
    <n v="2.0126861948542514"/>
    <n v="0.49684844192634559"/>
    <x v="9"/>
  </r>
  <r>
    <x v="1"/>
    <d v="2024-07-01T00:00:00"/>
    <n v="656.69"/>
    <n v="1412"/>
    <n v="2.1501774048637863"/>
    <n v="0.46507790368271956"/>
    <x v="9"/>
  </r>
  <r>
    <x v="1"/>
    <d v="2024-08-01T00:00:00"/>
    <n v="655.25"/>
    <n v="1412"/>
    <n v="2.1549027088897366"/>
    <n v="0.46405807365439095"/>
    <x v="9"/>
  </r>
  <r>
    <x v="1"/>
    <d v="2024-09-01T00:00:00"/>
    <n v="651.44000000000005"/>
    <n v="1412"/>
    <n v="2.1675058332309955"/>
    <n v="0.46135977337110484"/>
    <x v="9"/>
  </r>
  <r>
    <x v="1"/>
    <d v="2024-10-01T00:00:00"/>
    <n v="678.07"/>
    <n v="1412"/>
    <n v="2.0823808751308861"/>
    <n v="0.48021954674220968"/>
    <x v="9"/>
  </r>
  <r>
    <x v="1"/>
    <d v="2024-11-01T00:00:00"/>
    <n v="686.9"/>
    <n v="1412"/>
    <n v="2.0556121706216337"/>
    <n v="0.48647308781869686"/>
    <x v="9"/>
  </r>
  <r>
    <x v="1"/>
    <d v="2024-12-01T00:00:00"/>
    <n v="694.77"/>
    <n v="1412"/>
    <n v="2.0323272449875498"/>
    <n v="0.49204674220963174"/>
    <x v="9"/>
  </r>
  <r>
    <x v="1"/>
    <d v="2025-01-01T00:00:00"/>
    <n v="717.51"/>
    <n v="1518"/>
    <n v="2.115649956098173"/>
    <n v="0.47266798418972333"/>
    <x v="10"/>
  </r>
  <r>
    <x v="1"/>
    <d v="2025-02-01T00:00:00"/>
    <n v="726.01"/>
    <n v="1518"/>
    <n v="2.0908802909050839"/>
    <n v="0.47826745718050068"/>
    <x v="10"/>
  </r>
  <r>
    <x v="1"/>
    <d v="2025-03-01T00:00:00"/>
    <n v="744.1"/>
    <n v="1518"/>
    <n v="2.0400483805940062"/>
    <n v="0.49018445322793153"/>
    <x v="10"/>
  </r>
  <r>
    <x v="1"/>
    <d v="2025-04-01T00:00:00"/>
    <n v="752.6"/>
    <n v="1518"/>
    <n v="2.0170077066170609"/>
    <n v="0.49578392621870881"/>
    <x v="10"/>
  </r>
  <r>
    <x v="1"/>
    <d v="2025-05-01T00:00:00"/>
    <n v="733.76"/>
    <n v="1518"/>
    <n v="2.0687963366768427"/>
    <n v="0.48337285902503291"/>
    <x v="10"/>
  </r>
  <r>
    <x v="1"/>
    <d v="2025-06-01T00:00:00"/>
    <n v="726.63"/>
    <n v="1518"/>
    <n v="2.0890962388010403"/>
    <n v="0.47867588932806326"/>
    <x v="10"/>
  </r>
  <r>
    <x v="2"/>
    <d v="2015-01-01T00:00:00"/>
    <n v="310.77999999999997"/>
    <n v="788"/>
    <n v="2.5355556985649015"/>
    <n v="0.39439086294416242"/>
    <x v="0"/>
  </r>
  <r>
    <x v="2"/>
    <d v="2015-02-01T00:00:00"/>
    <n v="314.89"/>
    <n v="788"/>
    <n v="2.5024611769189242"/>
    <n v="0.39960659898477158"/>
    <x v="0"/>
  </r>
  <r>
    <x v="2"/>
    <d v="2015-03-01T00:00:00"/>
    <n v="320.02"/>
    <n v="788"/>
    <n v="2.4623461033685397"/>
    <n v="0.40611675126903551"/>
    <x v="0"/>
  </r>
  <r>
    <x v="2"/>
    <d v="2015-04-01T00:00:00"/>
    <n v="322.81"/>
    <n v="788"/>
    <n v="2.4410644032093183"/>
    <n v="0.40965736040609135"/>
    <x v="0"/>
  </r>
  <r>
    <x v="2"/>
    <d v="2015-05-01T00:00:00"/>
    <n v="338.92"/>
    <n v="788"/>
    <n v="2.3250324560368227"/>
    <n v="0.43010152284263964"/>
    <x v="0"/>
  </r>
  <r>
    <x v="2"/>
    <d v="2015-06-01T00:00:00"/>
    <n v="356.24"/>
    <n v="788"/>
    <n v="2.211991915562542"/>
    <n v="0.45208121827411168"/>
    <x v="0"/>
  </r>
  <r>
    <x v="2"/>
    <d v="2015-07-01T00:00:00"/>
    <n v="339.27"/>
    <n v="788"/>
    <n v="2.3226338904117667"/>
    <n v="0.4305456852791878"/>
    <x v="0"/>
  </r>
  <r>
    <x v="2"/>
    <d v="2015-08-01T00:00:00"/>
    <n v="334.45"/>
    <n v="788"/>
    <n v="2.3561070414112724"/>
    <n v="0.42442893401015225"/>
    <x v="0"/>
  </r>
  <r>
    <x v="2"/>
    <d v="2015-09-01T00:00:00"/>
    <n v="319.2"/>
    <n v="788"/>
    <n v="2.4686716791979952"/>
    <n v="0.40507614213197968"/>
    <x v="0"/>
  </r>
  <r>
    <x v="2"/>
    <d v="2015-10-01T00:00:00"/>
    <n v="321.72000000000003"/>
    <n v="788"/>
    <n v="2.4493348253139375"/>
    <n v="0.40827411167512695"/>
    <x v="0"/>
  </r>
  <r>
    <x v="2"/>
    <d v="2015-11-01T00:00:00"/>
    <n v="325.69"/>
    <n v="788"/>
    <n v="2.4194786453375912"/>
    <n v="0.41331218274111675"/>
    <x v="0"/>
  </r>
  <r>
    <x v="2"/>
    <d v="2015-12-01T00:00:00"/>
    <n v="351.38"/>
    <n v="788"/>
    <n v="2.24258637372645"/>
    <n v="0.44591370558375631"/>
    <x v="0"/>
  </r>
  <r>
    <x v="2"/>
    <d v="2016-01-01T00:00:00"/>
    <n v="374.5"/>
    <n v="880"/>
    <n v="2.3497997329773033"/>
    <n v="0.42556818181818185"/>
    <x v="1"/>
  </r>
  <r>
    <x v="2"/>
    <d v="2016-02-01T00:00:00"/>
    <n v="406.86"/>
    <n v="880"/>
    <n v="2.1629061593668584"/>
    <n v="0.46234090909090908"/>
    <x v="1"/>
  </r>
  <r>
    <x v="2"/>
    <d v="2016-03-01T00:00:00"/>
    <n v="413.87"/>
    <n v="880"/>
    <n v="2.1262715345398315"/>
    <n v="0.47030681818181819"/>
    <x v="1"/>
  </r>
  <r>
    <x v="2"/>
    <d v="2016-04-01T00:00:00"/>
    <n v="412.51"/>
    <n v="880"/>
    <n v="2.1332816174153355"/>
    <n v="0.46876136363636361"/>
    <x v="1"/>
  </r>
  <r>
    <x v="2"/>
    <d v="2016-05-01T00:00:00"/>
    <n v="402.97"/>
    <n v="880"/>
    <n v="2.1837853934536069"/>
    <n v="0.4579204545454546"/>
    <x v="1"/>
  </r>
  <r>
    <x v="2"/>
    <d v="2016-06-01T00:00:00"/>
    <n v="419.28"/>
    <n v="880"/>
    <n v="2.0988360999809199"/>
    <n v="0.47645454545454541"/>
    <x v="1"/>
  </r>
  <r>
    <x v="2"/>
    <d v="2016-07-01T00:00:00"/>
    <n v="416.75"/>
    <n v="880"/>
    <n v="2.1115776844631076"/>
    <n v="0.47357954545454545"/>
    <x v="1"/>
  </r>
  <r>
    <x v="2"/>
    <d v="2016-08-01T00:00:00"/>
    <n v="421.33"/>
    <n v="880"/>
    <n v="2.0886241188616999"/>
    <n v="0.47878409090909091"/>
    <x v="1"/>
  </r>
  <r>
    <x v="2"/>
    <d v="2016-09-01T00:00:00"/>
    <n v="424.43"/>
    <n v="880"/>
    <n v="2.0733689889970077"/>
    <n v="0.4823068181818182"/>
    <x v="1"/>
  </r>
  <r>
    <x v="2"/>
    <d v="2016-10-01T00:00:00"/>
    <n v="425.03"/>
    <n v="880"/>
    <n v="2.0704420864409574"/>
    <n v="0.48298863636363631"/>
    <x v="1"/>
  </r>
  <r>
    <x v="2"/>
    <d v="2016-11-01T00:00:00"/>
    <n v="415.86"/>
    <n v="880"/>
    <n v="2.1160967633338141"/>
    <n v="0.47256818181818183"/>
    <x v="1"/>
  </r>
  <r>
    <x v="2"/>
    <d v="2016-12-01T00:00:00"/>
    <n v="410.71"/>
    <n v="880"/>
    <n v="2.1426310535414284"/>
    <n v="0.46671590909090904"/>
    <x v="1"/>
  </r>
  <r>
    <x v="2"/>
    <d v="2017-01-01T00:00:00"/>
    <n v="406.4"/>
    <n v="937"/>
    <n v="2.3056102362204727"/>
    <n v="0.43372465314834574"/>
    <x v="2"/>
  </r>
  <r>
    <x v="2"/>
    <d v="2017-02-01T00:00:00"/>
    <n v="395.57"/>
    <n v="937"/>
    <n v="2.3687337260156229"/>
    <n v="0.42216648879402346"/>
    <x v="2"/>
  </r>
  <r>
    <x v="2"/>
    <d v="2017-03-01T00:00:00"/>
    <n v="394.21"/>
    <n v="937"/>
    <n v="2.3769057101544862"/>
    <n v="0.42071504802561366"/>
    <x v="2"/>
  </r>
  <r>
    <x v="2"/>
    <d v="2017-04-01T00:00:00"/>
    <n v="398.12"/>
    <n v="937"/>
    <n v="2.3535617401788405"/>
    <n v="0.42488794023479187"/>
    <x v="2"/>
  </r>
  <r>
    <x v="2"/>
    <d v="2017-05-01T00:00:00"/>
    <n v="402.76"/>
    <n v="937"/>
    <n v="2.3264475121660544"/>
    <n v="0.42983991462113125"/>
    <x v="2"/>
  </r>
  <r>
    <x v="2"/>
    <d v="2017-06-01T00:00:00"/>
    <n v="393.01"/>
    <n v="937"/>
    <n v="2.3841632528434391"/>
    <n v="0.4194343649946638"/>
    <x v="2"/>
  </r>
  <r>
    <x v="2"/>
    <d v="2017-07-01T00:00:00"/>
    <n v="388.67"/>
    <n v="937"/>
    <n v="2.4107854992667299"/>
    <n v="0.41480256136606192"/>
    <x v="2"/>
  </r>
  <r>
    <x v="2"/>
    <d v="2017-08-01T00:00:00"/>
    <n v="375.82"/>
    <n v="937"/>
    <n v="2.4932148368900005"/>
    <n v="0.40108858057630736"/>
    <x v="2"/>
  </r>
  <r>
    <x v="2"/>
    <d v="2017-09-01T00:00:00"/>
    <n v="369.89"/>
    <n v="937"/>
    <n v="2.5331855416475171"/>
    <n v="0.39475987193169687"/>
    <x v="2"/>
  </r>
  <r>
    <x v="2"/>
    <d v="2017-10-01T00:00:00"/>
    <n v="367.03"/>
    <n v="937"/>
    <n v="2.5529248290330493"/>
    <n v="0.39170757737459977"/>
    <x v="2"/>
  </r>
  <r>
    <x v="2"/>
    <d v="2017-11-01T00:00:00"/>
    <n v="358.74"/>
    <n v="937"/>
    <n v="2.6119194960138259"/>
    <n v="0.38286019210245464"/>
    <x v="2"/>
  </r>
  <r>
    <x v="2"/>
    <d v="2017-12-01T00:00:00"/>
    <n v="356.67"/>
    <n v="937"/>
    <n v="2.6270782516051252"/>
    <n v="0.38065101387406619"/>
    <x v="2"/>
  </r>
  <r>
    <x v="2"/>
    <d v="2018-01-01T00:00:00"/>
    <n v="366.99"/>
    <n v="954"/>
    <n v="2.5995258726395813"/>
    <n v="0.38468553459119498"/>
    <x v="3"/>
  </r>
  <r>
    <x v="2"/>
    <d v="2018-02-01T00:00:00"/>
    <n v="379.36"/>
    <n v="954"/>
    <n v="2.5147617039223955"/>
    <n v="0.3976519916142558"/>
    <x v="3"/>
  </r>
  <r>
    <x v="2"/>
    <d v="2018-03-01T00:00:00"/>
    <n v="367.06"/>
    <n v="954"/>
    <n v="2.5990301313136817"/>
    <n v="0.38475890985324945"/>
    <x v="3"/>
  </r>
  <r>
    <x v="2"/>
    <d v="2018-04-01T00:00:00"/>
    <n v="366.19"/>
    <n v="954"/>
    <n v="2.6052049482509081"/>
    <n v="0.38384696016771486"/>
    <x v="3"/>
  </r>
  <r>
    <x v="2"/>
    <d v="2018-05-01T00:00:00"/>
    <n v="367.56"/>
    <n v="954"/>
    <n v="2.5954946131243877"/>
    <n v="0.38528301886792454"/>
    <x v="3"/>
  </r>
  <r>
    <x v="2"/>
    <d v="2018-06-01T00:00:00"/>
    <n v="381.65"/>
    <n v="954"/>
    <n v="2.4996724747805583"/>
    <n v="0.40005241090146748"/>
    <x v="3"/>
  </r>
  <r>
    <x v="2"/>
    <d v="2018-07-01T00:00:00"/>
    <n v="361.11"/>
    <n v="954"/>
    <n v="2.6418542826285618"/>
    <n v="0.37852201257861634"/>
    <x v="3"/>
  </r>
  <r>
    <x v="2"/>
    <d v="2018-08-01T00:00:00"/>
    <n v="360.3"/>
    <n v="954"/>
    <n v="2.6477935054121566"/>
    <n v="0.37767295597484279"/>
    <x v="3"/>
  </r>
  <r>
    <x v="2"/>
    <d v="2018-09-01T00:00:00"/>
    <n v="359.51"/>
    <n v="954"/>
    <n v="2.6536118605880228"/>
    <n v="0.37684486373165615"/>
    <x v="3"/>
  </r>
  <r>
    <x v="2"/>
    <d v="2018-10-01T00:00:00"/>
    <n v="361.7"/>
    <n v="954"/>
    <n v="2.6375449267348632"/>
    <n v="0.37914046121593292"/>
    <x v="3"/>
  </r>
  <r>
    <x v="2"/>
    <d v="2018-11-01T00:00:00"/>
    <n v="372.24"/>
    <n v="954"/>
    <n v="2.5628626692456478"/>
    <n v="0.39018867924528305"/>
    <x v="3"/>
  </r>
  <r>
    <x v="2"/>
    <d v="2018-12-01T00:00:00"/>
    <n v="382.31"/>
    <n v="954"/>
    <n v="2.4953571708822682"/>
    <n v="0.40074423480083859"/>
    <x v="3"/>
  </r>
  <r>
    <x v="2"/>
    <d v="2019-01-01T00:00:00"/>
    <n v="384.78"/>
    <n v="998"/>
    <n v="2.5936899007224912"/>
    <n v="0.3855511022044088"/>
    <x v="4"/>
  </r>
  <r>
    <x v="2"/>
    <d v="2019-02-01T00:00:00"/>
    <n v="383.76"/>
    <n v="998"/>
    <n v="2.6005836981446739"/>
    <n v="0.38452905811623245"/>
    <x v="4"/>
  </r>
  <r>
    <x v="2"/>
    <d v="2019-03-01T00:00:00"/>
    <n v="408.67"/>
    <n v="998"/>
    <n v="2.4420681723640101"/>
    <n v="0.40948897795591183"/>
    <x v="4"/>
  </r>
  <r>
    <x v="2"/>
    <d v="2019-04-01T00:00:00"/>
    <n v="423.17"/>
    <n v="998"/>
    <n v="2.3583902450551788"/>
    <n v="0.42401803607214428"/>
    <x v="4"/>
  </r>
  <r>
    <x v="2"/>
    <d v="2019-05-01T00:00:00"/>
    <n v="418.05"/>
    <n v="998"/>
    <n v="2.3872742494916874"/>
    <n v="0.41888777555110224"/>
    <x v="4"/>
  </r>
  <r>
    <x v="2"/>
    <d v="2019-06-01T00:00:00"/>
    <n v="407.67"/>
    <n v="998"/>
    <n v="2.4480584786714745"/>
    <n v="0.40848697394789579"/>
    <x v="4"/>
  </r>
  <r>
    <x v="2"/>
    <d v="2019-07-01T00:00:00"/>
    <n v="403.35"/>
    <n v="998"/>
    <n v="2.4742779223999007"/>
    <n v="0.40415831663326657"/>
    <x v="4"/>
  </r>
  <r>
    <x v="2"/>
    <d v="2019-08-01T00:00:00"/>
    <n v="393.94"/>
    <n v="998"/>
    <n v="2.5333807178758185"/>
    <n v="0.39472945891783567"/>
    <x v="4"/>
  </r>
  <r>
    <x v="2"/>
    <d v="2019-09-01T00:00:00"/>
    <n v="382.11"/>
    <n v="998"/>
    <n v="2.6118133521760747"/>
    <n v="0.38287575150300601"/>
    <x v="4"/>
  </r>
  <r>
    <x v="2"/>
    <d v="2019-10-01T00:00:00"/>
    <n v="377.37"/>
    <n v="998"/>
    <n v="2.6446193391101569"/>
    <n v="0.37812625250501003"/>
    <x v="4"/>
  </r>
  <r>
    <x v="2"/>
    <d v="2019-11-01T00:00:00"/>
    <n v="381.28"/>
    <n v="998"/>
    <n v="2.6174989509022244"/>
    <n v="0.38204408817635266"/>
    <x v="4"/>
  </r>
  <r>
    <x v="2"/>
    <d v="2019-12-01T00:00:00"/>
    <n v="414.13"/>
    <n v="998"/>
    <n v="2.4098712964528048"/>
    <n v="0.41495991983967934"/>
    <x v="4"/>
  </r>
  <r>
    <x v="2"/>
    <d v="2020-01-01T00:00:00"/>
    <n v="415.56"/>
    <n v="1039"/>
    <n v="2.5002406391375493"/>
    <n v="0.39996150144369585"/>
    <x v="5"/>
  </r>
  <r>
    <x v="2"/>
    <d v="2020-02-01T00:00:00"/>
    <n v="432.95"/>
    <n v="1045"/>
    <n v="2.4136736343688647"/>
    <n v="0.41430622009569379"/>
    <x v="5"/>
  </r>
  <r>
    <x v="2"/>
    <d v="2020-03-01T00:00:00"/>
    <n v="418.8"/>
    <n v="1045"/>
    <n v="2.4952244508118433"/>
    <n v="0.40076555023923444"/>
    <x v="5"/>
  </r>
  <r>
    <x v="2"/>
    <d v="2020-04-01T00:00:00"/>
    <n v="434.19"/>
    <n v="1045"/>
    <n v="2.4067804417420944"/>
    <n v="0.41549282296650719"/>
    <x v="5"/>
  </r>
  <r>
    <x v="2"/>
    <d v="2020-05-01T00:00:00"/>
    <n v="453.36"/>
    <n v="1045"/>
    <n v="2.3050114699135342"/>
    <n v="0.43383732057416269"/>
    <x v="5"/>
  </r>
  <r>
    <x v="2"/>
    <d v="2020-06-01T00:00:00"/>
    <n v="453.87"/>
    <n v="1045"/>
    <n v="2.3024213981977217"/>
    <n v="0.43432535885167467"/>
    <x v="5"/>
  </r>
  <r>
    <x v="2"/>
    <d v="2020-07-01T00:00:00"/>
    <n v="440.99"/>
    <n v="1045"/>
    <n v="2.3696682464454977"/>
    <n v="0.42199999999999999"/>
    <x v="5"/>
  </r>
  <r>
    <x v="2"/>
    <d v="2020-08-01T00:00:00"/>
    <n v="441.51"/>
    <n v="1045"/>
    <n v="2.3668773074222553"/>
    <n v="0.42249760765550237"/>
    <x v="5"/>
  </r>
  <r>
    <x v="2"/>
    <d v="2020-09-01T00:00:00"/>
    <n v="459.21"/>
    <n v="1045"/>
    <n v="2.2756473073321577"/>
    <n v="0.43943540669856457"/>
    <x v="5"/>
  </r>
  <r>
    <x v="2"/>
    <d v="2020-10-01T00:00:00"/>
    <n v="468.22"/>
    <n v="1045"/>
    <n v="2.2318568194438511"/>
    <n v="0.4480574162679426"/>
    <x v="5"/>
  </r>
  <r>
    <x v="2"/>
    <d v="2020-11-01T00:00:00"/>
    <n v="486.5"/>
    <n v="1045"/>
    <n v="2.1479958890030835"/>
    <n v="0.46555023923444977"/>
    <x v="5"/>
  </r>
  <r>
    <x v="2"/>
    <d v="2020-12-01T00:00:00"/>
    <n v="500.89"/>
    <n v="1045"/>
    <n v="2.0862864101898619"/>
    <n v="0.47932057416267942"/>
    <x v="5"/>
  </r>
  <r>
    <x v="2"/>
    <d v="2021-01-01T00:00:00"/>
    <n v="507.31"/>
    <n v="1100"/>
    <n v="2.1682994618674973"/>
    <n v="0.4611909090909091"/>
    <x v="6"/>
  </r>
  <r>
    <x v="2"/>
    <d v="2021-02-01T00:00:00"/>
    <n v="512.95000000000005"/>
    <n v="1100"/>
    <n v="2.1444585242226335"/>
    <n v="0.46631818181818185"/>
    <x v="6"/>
  </r>
  <r>
    <x v="2"/>
    <d v="2021-03-01T00:00:00"/>
    <n v="515.77"/>
    <n v="1100"/>
    <n v="2.1327335827985343"/>
    <n v="0.46888181818181818"/>
    <x v="6"/>
  </r>
  <r>
    <x v="2"/>
    <d v="2021-04-01T00:00:00"/>
    <n v="505.87"/>
    <n v="1100"/>
    <n v="2.1744717022159845"/>
    <n v="0.45988181818181817"/>
    <x v="6"/>
  </r>
  <r>
    <x v="2"/>
    <d v="2021-05-01T00:00:00"/>
    <n v="515.84"/>
    <n v="1100"/>
    <n v="2.1324441687344913"/>
    <n v="0.46894545454545455"/>
    <x v="6"/>
  </r>
  <r>
    <x v="2"/>
    <d v="2021-06-01T00:00:00"/>
    <n v="518.53"/>
    <n v="1100"/>
    <n v="2.1213815979789019"/>
    <n v="0.47139090909090908"/>
    <x v="6"/>
  </r>
  <r>
    <x v="2"/>
    <d v="2021-07-01T00:00:00"/>
    <n v="522.66"/>
    <n v="1100"/>
    <n v="2.1046186813607317"/>
    <n v="0.47514545454545454"/>
    <x v="6"/>
  </r>
  <r>
    <x v="2"/>
    <d v="2021-08-01T00:00:00"/>
    <n v="530.13"/>
    <n v="1100"/>
    <n v="2.0749627449870784"/>
    <n v="0.48193636363636361"/>
    <x v="6"/>
  </r>
  <r>
    <x v="2"/>
    <d v="2021-09-01T00:00:00"/>
    <n v="532.55999999999995"/>
    <n v="1100"/>
    <n v="2.0654949677031698"/>
    <n v="0.48414545454545449"/>
    <x v="6"/>
  </r>
  <r>
    <x v="2"/>
    <d v="2021-10-01T00:00:00"/>
    <n v="538.44000000000005"/>
    <n v="1100"/>
    <n v="2.0429388604115593"/>
    <n v="0.48949090909090914"/>
    <x v="6"/>
  </r>
  <r>
    <x v="2"/>
    <d v="2021-11-01T00:00:00"/>
    <n v="550.64"/>
    <n v="1100"/>
    <n v="1.9976754322243209"/>
    <n v="0.50058181818181813"/>
    <x v="6"/>
  </r>
  <r>
    <x v="2"/>
    <d v="2021-12-01T00:00:00"/>
    <n v="556.87"/>
    <n v="1100"/>
    <n v="1.9753263777901484"/>
    <n v="0.50624545454545455"/>
    <x v="6"/>
  </r>
  <r>
    <x v="2"/>
    <d v="2022-01-01T00:00:00"/>
    <n v="563.97"/>
    <n v="1212"/>
    <n v="2.1490504814085853"/>
    <n v="0.46532178217821785"/>
    <x v="7"/>
  </r>
  <r>
    <x v="2"/>
    <d v="2022-02-01T00:00:00"/>
    <n v="574.86"/>
    <n v="1212"/>
    <n v="2.1083394217722575"/>
    <n v="0.47430693069306934"/>
    <x v="7"/>
  </r>
  <r>
    <x v="2"/>
    <d v="2022-03-01T00:00:00"/>
    <n v="585.91"/>
    <n v="1212"/>
    <n v="2.0685770852178664"/>
    <n v="0.48342409240924089"/>
    <x v="7"/>
  </r>
  <r>
    <x v="2"/>
    <d v="2022-04-01T00:00:00"/>
    <n v="610.30999999999995"/>
    <n v="1212"/>
    <n v="1.9858760302141536"/>
    <n v="0.50355610561056097"/>
    <x v="7"/>
  </r>
  <r>
    <x v="2"/>
    <d v="2022-05-01T00:00:00"/>
    <n v="628.58000000000004"/>
    <n v="1212"/>
    <n v="1.9281555251519296"/>
    <n v="0.51863036303630361"/>
    <x v="7"/>
  </r>
  <r>
    <x v="2"/>
    <d v="2022-06-01T00:00:00"/>
    <n v="632.26"/>
    <n v="1212"/>
    <n v="1.9169329073482428"/>
    <n v="0.52166666666666661"/>
    <x v="7"/>
  </r>
  <r>
    <x v="2"/>
    <d v="2022-07-01T00:00:00"/>
    <n v="633.14"/>
    <n v="1212"/>
    <n v="1.9142685661938907"/>
    <n v="0.52239273927392738"/>
    <x v="7"/>
  </r>
  <r>
    <x v="2"/>
    <d v="2022-08-01T00:00:00"/>
    <n v="634.85"/>
    <n v="1212"/>
    <n v="1.9091123887532486"/>
    <n v="0.52380363036303634"/>
    <x v="7"/>
  </r>
  <r>
    <x v="2"/>
    <d v="2022-09-01T00:00:00"/>
    <n v="622.46"/>
    <n v="1212"/>
    <n v="1.9471130675063457"/>
    <n v="0.51358085808580856"/>
    <x v="7"/>
  </r>
  <r>
    <x v="2"/>
    <d v="2022-10-01T00:00:00"/>
    <n v="615.22"/>
    <n v="1212"/>
    <n v="1.9700269822177432"/>
    <n v="0.50760726072607265"/>
    <x v="7"/>
  </r>
  <r>
    <x v="2"/>
    <d v="2022-11-01T00:00:00"/>
    <n v="624.29"/>
    <n v="1212"/>
    <n v="1.9414054365759503"/>
    <n v="0.51509075907590751"/>
    <x v="7"/>
  </r>
  <r>
    <x v="2"/>
    <d v="2022-12-01T00:00:00"/>
    <n v="639.44000000000005"/>
    <n v="1212"/>
    <n v="1.8954084824221191"/>
    <n v="0.52759075907590769"/>
    <x v="7"/>
  </r>
  <r>
    <x v="2"/>
    <d v="2023-01-01T00:00:00"/>
    <n v="654.80999999999995"/>
    <n v="1302"/>
    <n v="1.9883630366060385"/>
    <n v="0.5029262672811059"/>
    <x v="8"/>
  </r>
  <r>
    <x v="2"/>
    <d v="2023-02-01T00:00:00"/>
    <n v="662.98"/>
    <n v="1302"/>
    <n v="1.9638601466107575"/>
    <n v="0.50920122887864827"/>
    <x v="8"/>
  </r>
  <r>
    <x v="2"/>
    <d v="2023-03-01T00:00:00"/>
    <n v="664.54"/>
    <n v="1302"/>
    <n v="1.9592500075240016"/>
    <n v="0.51039938556067588"/>
    <x v="8"/>
  </r>
  <r>
    <x v="2"/>
    <d v="2023-04-01T00:00:00"/>
    <n v="660.77"/>
    <n v="1302"/>
    <n v="1.9704284395478004"/>
    <n v="0.50750384024577566"/>
    <x v="8"/>
  </r>
  <r>
    <x v="2"/>
    <d v="2023-05-01T00:00:00"/>
    <n v="669.8"/>
    <n v="1320"/>
    <n v="1.9707375335921171"/>
    <n v="0.50742424242424244"/>
    <x v="8"/>
  </r>
  <r>
    <x v="2"/>
    <d v="2023-06-01T00:00:00"/>
    <n v="659.89"/>
    <n v="1320"/>
    <n v="2.0003333888981496"/>
    <n v="0.49991666666666668"/>
    <x v="8"/>
  </r>
  <r>
    <x v="2"/>
    <d v="2023-07-01T00:00:00"/>
    <n v="650.41999999999996"/>
    <n v="1320"/>
    <n v="2.0294578887488086"/>
    <n v="0.4927424242424242"/>
    <x v="8"/>
  </r>
  <r>
    <x v="2"/>
    <d v="2023-08-01T00:00:00"/>
    <n v="640.11"/>
    <n v="1320"/>
    <n v="2.0621455687303745"/>
    <n v="0.48493181818181819"/>
    <x v="8"/>
  </r>
  <r>
    <x v="2"/>
    <d v="2023-09-01T00:00:00"/>
    <n v="633.53"/>
    <n v="1320"/>
    <n v="2.0835635250106548"/>
    <n v="0.47994696969696965"/>
    <x v="8"/>
  </r>
  <r>
    <x v="2"/>
    <d v="2023-10-01T00:00:00"/>
    <n v="632.91999999999996"/>
    <n v="1320"/>
    <n v="2.0855716362257475"/>
    <n v="0.47948484848484846"/>
    <x v="8"/>
  </r>
  <r>
    <x v="2"/>
    <d v="2023-11-01T00:00:00"/>
    <n v="635.17999999999995"/>
    <n v="1320"/>
    <n v="2.0781510752857457"/>
    <n v="0.48119696969696968"/>
    <x v="8"/>
  </r>
  <r>
    <x v="2"/>
    <d v="2023-12-01T00:00:00"/>
    <n v="645.44000000000005"/>
    <n v="1320"/>
    <n v="2.0451165096678232"/>
    <n v="0.488969696969697"/>
    <x v="8"/>
  </r>
  <r>
    <x v="2"/>
    <d v="2024-01-01T00:00:00"/>
    <n v="656.78"/>
    <n v="1412"/>
    <n v="2.1498827613508329"/>
    <n v="0.46514164305949007"/>
    <x v="9"/>
  </r>
  <r>
    <x v="2"/>
    <d v="2024-02-01T00:00:00"/>
    <n v="665.12"/>
    <n v="1412"/>
    <n v="2.1229251864325236"/>
    <n v="0.47104815864022664"/>
    <x v="9"/>
  </r>
  <r>
    <x v="2"/>
    <d v="2024-03-01T00:00:00"/>
    <n v="667.53"/>
    <n v="1412"/>
    <n v="2.115260737345138"/>
    <n v="0.47275495750708213"/>
    <x v="9"/>
  </r>
  <r>
    <x v="2"/>
    <d v="2024-04-01T00:00:00"/>
    <n v="681.45"/>
    <n v="1412"/>
    <n v="2.072052241543767"/>
    <n v="0.48261331444759209"/>
    <x v="9"/>
  </r>
  <r>
    <x v="2"/>
    <d v="2024-05-01T00:00:00"/>
    <n v="690.98"/>
    <n v="1412"/>
    <n v="2.0434744855133289"/>
    <n v="0.48936260623229461"/>
    <x v="9"/>
  </r>
  <r>
    <x v="2"/>
    <d v="2024-06-01T00:00:00"/>
    <n v="695.58"/>
    <n v="1412"/>
    <n v="2.0299606084131225"/>
    <n v="0.49262039660056661"/>
    <x v="9"/>
  </r>
  <r>
    <x v="2"/>
    <d v="2024-07-01T00:00:00"/>
    <n v="682.39"/>
    <n v="1412"/>
    <n v="2.0691979659725379"/>
    <n v="0.48327903682719547"/>
    <x v="9"/>
  </r>
  <r>
    <x v="2"/>
    <d v="2024-08-01T00:00:00"/>
    <n v="664.92"/>
    <n v="1412"/>
    <n v="2.1235637369909162"/>
    <n v="0.47090651558073654"/>
    <x v="9"/>
  </r>
  <r>
    <x v="2"/>
    <d v="2024-09-01T00:00:00"/>
    <n v="647.79"/>
    <n v="1412"/>
    <n v="2.1797187360101269"/>
    <n v="0.45877478753541073"/>
    <x v="9"/>
  </r>
  <r>
    <x v="2"/>
    <d v="2024-10-01T00:00:00"/>
    <n v="649.9"/>
    <n v="1412"/>
    <n v="2.1726419449146022"/>
    <n v="0.46026912181303115"/>
    <x v="9"/>
  </r>
  <r>
    <x v="2"/>
    <d v="2024-11-01T00:00:00"/>
    <n v="663.02"/>
    <n v="1412"/>
    <n v="2.1296491810201803"/>
    <n v="0.46956090651558074"/>
    <x v="9"/>
  </r>
  <r>
    <x v="2"/>
    <d v="2024-12-01T00:00:00"/>
    <n v="665.83"/>
    <n v="1412"/>
    <n v="2.1206614300947688"/>
    <n v="0.47155099150141644"/>
    <x v="9"/>
  </r>
  <r>
    <x v="2"/>
    <d v="2025-01-01T00:00:00"/>
    <n v="697.81"/>
    <n v="1518"/>
    <n v="2.1753772516874221"/>
    <n v="0.45969038208168639"/>
    <x v="10"/>
  </r>
  <r>
    <x v="2"/>
    <d v="2025-02-01T00:00:00"/>
    <n v="700.06"/>
    <n v="1518"/>
    <n v="2.1683855669514043"/>
    <n v="0.46117259552042156"/>
    <x v="10"/>
  </r>
  <r>
    <x v="2"/>
    <d v="2025-03-01T00:00:00"/>
    <n v="704.9"/>
    <n v="1518"/>
    <n v="2.1534969499219749"/>
    <n v="0.46436100131752306"/>
    <x v="10"/>
  </r>
  <r>
    <x v="2"/>
    <d v="2025-04-01T00:00:00"/>
    <n v="726.21"/>
    <n v="1518"/>
    <n v="2.0903044573883585"/>
    <n v="0.47839920948616604"/>
    <x v="10"/>
  </r>
  <r>
    <x v="2"/>
    <d v="2025-05-01T00:00:00"/>
    <n v="726.38"/>
    <n v="1518"/>
    <n v="2.0898152482171866"/>
    <n v="0.47851119894598154"/>
    <x v="10"/>
  </r>
  <r>
    <x v="2"/>
    <d v="2025-06-01T00:00:00"/>
    <n v="709.04"/>
    <n v="1518"/>
    <n v="2.1409229380570913"/>
    <n v="0.46708827404479575"/>
    <x v="10"/>
  </r>
  <r>
    <x v="3"/>
    <d v="2015-01-01T00:00:00"/>
    <n v="353.6"/>
    <n v="788"/>
    <n v="2.2285067873303168"/>
    <n v="0.44873096446700511"/>
    <x v="0"/>
  </r>
  <r>
    <x v="3"/>
    <d v="2015-02-01T00:00:00"/>
    <n v="355.7"/>
    <n v="788"/>
    <n v="2.2153500140567894"/>
    <n v="0.45139593908629438"/>
    <x v="0"/>
  </r>
  <r>
    <x v="3"/>
    <d v="2015-03-01T00:00:00"/>
    <n v="351.93"/>
    <n v="788"/>
    <n v="2.2390816355525245"/>
    <n v="0.44661167512690358"/>
    <x v="0"/>
  </r>
  <r>
    <x v="3"/>
    <d v="2015-04-01T00:00:00"/>
    <n v="358"/>
    <n v="788"/>
    <n v="2.2011173184357542"/>
    <n v="0.45431472081218272"/>
    <x v="0"/>
  </r>
  <r>
    <x v="3"/>
    <d v="2015-05-01T00:00:00"/>
    <n v="370.23"/>
    <n v="788"/>
    <n v="2.128406666126462"/>
    <n v="0.4698350253807107"/>
    <x v="0"/>
  </r>
  <r>
    <x v="3"/>
    <d v="2015-06-01T00:00:00"/>
    <n v="359.61"/>
    <n v="788"/>
    <n v="2.1912627568755041"/>
    <n v="0.45635786802030459"/>
    <x v="0"/>
  </r>
  <r>
    <x v="3"/>
    <d v="2015-07-01T00:00:00"/>
    <n v="354.94"/>
    <n v="788"/>
    <n v="2.2200935369358201"/>
    <n v="0.45043147208121825"/>
    <x v="0"/>
  </r>
  <r>
    <x v="3"/>
    <d v="2015-08-01T00:00:00"/>
    <n v="342.66"/>
    <n v="788"/>
    <n v="2.2996556353236444"/>
    <n v="0.43484771573604064"/>
    <x v="0"/>
  </r>
  <r>
    <x v="3"/>
    <d v="2015-09-01T00:00:00"/>
    <n v="338.28"/>
    <n v="788"/>
    <n v="2.3294312403925743"/>
    <n v="0.42928934010152281"/>
    <x v="0"/>
  </r>
  <r>
    <x v="3"/>
    <d v="2015-10-01T00:00:00"/>
    <n v="345.38"/>
    <n v="788"/>
    <n v="2.2815449649661241"/>
    <n v="0.4382994923857868"/>
    <x v="0"/>
  </r>
  <r>
    <x v="3"/>
    <d v="2015-11-01T00:00:00"/>
    <n v="377.24"/>
    <n v="788"/>
    <n v="2.0888559007528364"/>
    <n v="0.47873096446700508"/>
    <x v="0"/>
  </r>
  <r>
    <x v="3"/>
    <d v="2015-12-01T00:00:00"/>
    <n v="392.93"/>
    <n v="788"/>
    <n v="2.0054462626931007"/>
    <n v="0.49864213197969542"/>
    <x v="0"/>
  </r>
  <r>
    <x v="3"/>
    <d v="2016-01-01T00:00:00"/>
    <n v="451.76"/>
    <n v="880"/>
    <n v="1.9479369576766425"/>
    <n v="0.51336363636363636"/>
    <x v="1"/>
  </r>
  <r>
    <x v="3"/>
    <d v="2016-02-01T00:00:00"/>
    <n v="438.69"/>
    <n v="880"/>
    <n v="2.0059723266999474"/>
    <n v="0.49851136363636361"/>
    <x v="1"/>
  </r>
  <r>
    <x v="3"/>
    <d v="2016-03-01T00:00:00"/>
    <n v="444.74"/>
    <n v="880"/>
    <n v="1.9786841750236093"/>
    <n v="0.50538636363636369"/>
    <x v="1"/>
  </r>
  <r>
    <x v="3"/>
    <d v="2016-04-01T00:00:00"/>
    <n v="427.68"/>
    <n v="880"/>
    <n v="2.0576131687242798"/>
    <n v="0.48599999999999999"/>
    <x v="1"/>
  </r>
  <r>
    <x v="3"/>
    <d v="2016-05-01T00:00:00"/>
    <n v="441.6"/>
    <n v="880"/>
    <n v="1.9927536231884058"/>
    <n v="0.50181818181818183"/>
    <x v="1"/>
  </r>
  <r>
    <x v="3"/>
    <d v="2016-06-01T00:00:00"/>
    <n v="448.4"/>
    <n v="880"/>
    <n v="1.9625334522747548"/>
    <n v="0.50954545454545452"/>
    <x v="1"/>
  </r>
  <r>
    <x v="3"/>
    <d v="2016-07-01T00:00:00"/>
    <n v="447.36"/>
    <n v="880"/>
    <n v="1.9670958512160228"/>
    <n v="0.50836363636363635"/>
    <x v="1"/>
  </r>
  <r>
    <x v="3"/>
    <d v="2016-08-01T00:00:00"/>
    <n v="451.29"/>
    <n v="880"/>
    <n v="1.9499656540140484"/>
    <n v="0.51282954545454551"/>
    <x v="1"/>
  </r>
  <r>
    <x v="3"/>
    <d v="2016-09-01T00:00:00"/>
    <n v="461.99"/>
    <n v="880"/>
    <n v="1.9048031342669753"/>
    <n v="0.52498863636363635"/>
    <x v="1"/>
  </r>
  <r>
    <x v="3"/>
    <d v="2016-10-01T00:00:00"/>
    <n v="436.85"/>
    <n v="880"/>
    <n v="2.0144214261188051"/>
    <n v="0.49642045454545458"/>
    <x v="1"/>
  </r>
  <r>
    <x v="3"/>
    <d v="2016-11-01T00:00:00"/>
    <n v="436.68"/>
    <n v="880"/>
    <n v="2.0152056425757991"/>
    <n v="0.49622727272727274"/>
    <x v="1"/>
  </r>
  <r>
    <x v="3"/>
    <d v="2016-12-01T00:00:00"/>
    <n v="431.71"/>
    <n v="880"/>
    <n v="2.0384054110398186"/>
    <n v="0.49057954545454541"/>
    <x v="1"/>
  </r>
  <r>
    <x v="3"/>
    <d v="2017-01-01T00:00:00"/>
    <n v="432.65"/>
    <n v="937"/>
    <n v="2.165722870680689"/>
    <n v="0.46173959445037349"/>
    <x v="2"/>
  </r>
  <r>
    <x v="3"/>
    <d v="2017-02-01T00:00:00"/>
    <n v="416.59"/>
    <n v="937"/>
    <n v="2.2492138553493843"/>
    <n v="0.44459978655282817"/>
    <x v="2"/>
  </r>
  <r>
    <x v="3"/>
    <d v="2017-03-01T00:00:00"/>
    <n v="415.39"/>
    <n v="937"/>
    <n v="2.2557115000361105"/>
    <n v="0.44331910352187831"/>
    <x v="2"/>
  </r>
  <r>
    <x v="3"/>
    <d v="2017-04-01T00:00:00"/>
    <n v="427.37"/>
    <n v="937"/>
    <n v="2.1924795844350329"/>
    <n v="0.45610458911419421"/>
    <x v="2"/>
  </r>
  <r>
    <x v="3"/>
    <d v="2017-05-01T00:00:00"/>
    <n v="422.53"/>
    <n v="937"/>
    <n v="2.2175940169928765"/>
    <n v="0.45093916755602986"/>
    <x v="2"/>
  </r>
  <r>
    <x v="3"/>
    <d v="2017-06-01T00:00:00"/>
    <n v="404.88"/>
    <n v="937"/>
    <n v="2.3142659553447937"/>
    <n v="0.43210245464247599"/>
    <x v="2"/>
  </r>
  <r>
    <x v="3"/>
    <d v="2017-07-01T00:00:00"/>
    <n v="405.4"/>
    <n v="937"/>
    <n v="2.3112974839664528"/>
    <n v="0.43265741728922091"/>
    <x v="2"/>
  </r>
  <r>
    <x v="3"/>
    <d v="2017-08-01T00:00:00"/>
    <n v="396.54"/>
    <n v="937"/>
    <n v="2.3629394260352043"/>
    <n v="0.42320170757737463"/>
    <x v="2"/>
  </r>
  <r>
    <x v="3"/>
    <d v="2017-09-01T00:00:00"/>
    <n v="383.03"/>
    <n v="937"/>
    <n v="2.4462835809205545"/>
    <n v="0.4087833511205976"/>
    <x v="2"/>
  </r>
  <r>
    <x v="3"/>
    <d v="2017-10-01T00:00:00"/>
    <n v="388.78"/>
    <n v="937"/>
    <n v="2.4101034003806783"/>
    <n v="0.41491995731056558"/>
    <x v="2"/>
  </r>
  <r>
    <x v="3"/>
    <d v="2017-11-01T00:00:00"/>
    <n v="380.52"/>
    <n v="937"/>
    <n v="2.4624198465258069"/>
    <n v="0.40610458911419423"/>
    <x v="2"/>
  </r>
  <r>
    <x v="3"/>
    <d v="2017-12-01T00:00:00"/>
    <n v="379.77"/>
    <n v="937"/>
    <n v="2.4672828290807596"/>
    <n v="0.40530416221985055"/>
    <x v="2"/>
  </r>
  <r>
    <x v="3"/>
    <d v="2018-01-01T00:00:00"/>
    <n v="416.5"/>
    <n v="954"/>
    <n v="2.290516206482593"/>
    <n v="0.43658280922431864"/>
    <x v="3"/>
  </r>
  <r>
    <x v="3"/>
    <d v="2018-02-01T00:00:00"/>
    <n v="408.68"/>
    <n v="954"/>
    <n v="2.3343447195850056"/>
    <n v="0.42838574423480086"/>
    <x v="3"/>
  </r>
  <r>
    <x v="3"/>
    <d v="2018-03-01T00:00:00"/>
    <n v="404.6"/>
    <n v="954"/>
    <n v="2.3578843302026691"/>
    <n v="0.42410901467505241"/>
    <x v="3"/>
  </r>
  <r>
    <x v="3"/>
    <d v="2018-04-01T00:00:00"/>
    <n v="402.31"/>
    <n v="954"/>
    <n v="2.371305709527479"/>
    <n v="0.42170859538784067"/>
    <x v="3"/>
  </r>
  <r>
    <x v="3"/>
    <d v="2018-05-01T00:00:00"/>
    <n v="404.65"/>
    <n v="954"/>
    <n v="2.3575929815890277"/>
    <n v="0.42416142557651987"/>
    <x v="3"/>
  </r>
  <r>
    <x v="3"/>
    <d v="2018-06-01T00:00:00"/>
    <n v="413.02"/>
    <n v="954"/>
    <n v="2.309815505302407"/>
    <n v="0.43293501048218025"/>
    <x v="3"/>
  </r>
  <r>
    <x v="3"/>
    <d v="2018-07-01T00:00:00"/>
    <n v="390.34"/>
    <n v="954"/>
    <n v="2.4440231592970232"/>
    <n v="0.40916142557651991"/>
    <x v="3"/>
  </r>
  <r>
    <x v="3"/>
    <d v="2018-08-01T00:00:00"/>
    <n v="385.62"/>
    <n v="954"/>
    <n v="2.4739380737513614"/>
    <n v="0.40421383647798742"/>
    <x v="3"/>
  </r>
  <r>
    <x v="3"/>
    <d v="2018-09-01T00:00:00"/>
    <n v="390.14"/>
    <n v="954"/>
    <n v="2.4452760547495771"/>
    <n v="0.40895178197064991"/>
    <x v="3"/>
  </r>
  <r>
    <x v="3"/>
    <d v="2018-10-01T00:00:00"/>
    <n v="408.57"/>
    <n v="954"/>
    <n v="2.3349731992069902"/>
    <n v="0.42827044025157229"/>
    <x v="3"/>
  </r>
  <r>
    <x v="3"/>
    <d v="2018-11-01T00:00:00"/>
    <n v="430.82"/>
    <n v="954"/>
    <n v="2.2143818764217076"/>
    <n v="0.45159329140461213"/>
    <x v="3"/>
  </r>
  <r>
    <x v="3"/>
    <d v="2018-12-01T00:00:00"/>
    <n v="435.83"/>
    <n v="954"/>
    <n v="2.1889268751577449"/>
    <n v="0.45684486373165617"/>
    <x v="3"/>
  </r>
  <r>
    <x v="3"/>
    <d v="2019-01-01T00:00:00"/>
    <n v="427.1"/>
    <n v="998"/>
    <n v="2.3366892999297586"/>
    <n v="0.42795591182364734"/>
    <x v="4"/>
  </r>
  <r>
    <x v="3"/>
    <d v="2019-02-01T00:00:00"/>
    <n v="427.54"/>
    <n v="998"/>
    <n v="2.3342845113907469"/>
    <n v="0.42839679358717436"/>
    <x v="4"/>
  </r>
  <r>
    <x v="3"/>
    <d v="2019-03-01T00:00:00"/>
    <n v="474.94"/>
    <n v="998"/>
    <n v="2.1013180612287869"/>
    <n v="0.47589178356713424"/>
    <x v="4"/>
  </r>
  <r>
    <x v="3"/>
    <d v="2019-04-01T00:00:00"/>
    <n v="487.02"/>
    <n v="998"/>
    <n v="2.0491971582275883"/>
    <n v="0.48799599198396792"/>
    <x v="4"/>
  </r>
  <r>
    <x v="3"/>
    <d v="2019-05-01T00:00:00"/>
    <n v="487.3"/>
    <n v="998"/>
    <n v="2.0480197003899034"/>
    <n v="0.48827655310621243"/>
    <x v="4"/>
  </r>
  <r>
    <x v="3"/>
    <d v="2019-06-01T00:00:00"/>
    <n v="454.9"/>
    <n v="998"/>
    <n v="2.1938887667619258"/>
    <n v="0.45581162324649294"/>
    <x v="4"/>
  </r>
  <r>
    <x v="3"/>
    <d v="2019-07-01T00:00:00"/>
    <n v="449.27"/>
    <n v="998"/>
    <n v="2.2213813519709751"/>
    <n v="0.45017034068136269"/>
    <x v="4"/>
  </r>
  <r>
    <x v="3"/>
    <d v="2019-08-01T00:00:00"/>
    <n v="433.45"/>
    <n v="998"/>
    <n v="2.3024570307994003"/>
    <n v="0.43431863727454911"/>
    <x v="4"/>
  </r>
  <r>
    <x v="3"/>
    <d v="2019-09-01T00:00:00"/>
    <n v="420.01"/>
    <n v="998"/>
    <n v="2.3761339015737719"/>
    <n v="0.4208517034068136"/>
    <x v="4"/>
  </r>
  <r>
    <x v="3"/>
    <d v="2019-10-01T00:00:00"/>
    <n v="441.91"/>
    <n v="998"/>
    <n v="2.2583784028422076"/>
    <n v="0.44279559118236478"/>
    <x v="4"/>
  </r>
  <r>
    <x v="3"/>
    <d v="2019-12-01T00:00:00"/>
    <n v="473.9"/>
    <n v="998"/>
    <n v="2.105929520995991"/>
    <n v="0.47484969939879756"/>
    <x v="4"/>
  </r>
  <r>
    <x v="3"/>
    <d v="2020-01-01T00:00:00"/>
    <n v="483.17"/>
    <n v="1039"/>
    <n v="2.1503818531779704"/>
    <n v="0.46503368623676616"/>
    <x v="5"/>
  </r>
  <r>
    <x v="3"/>
    <d v="2020-02-01T00:00:00"/>
    <n v="481.78"/>
    <n v="1045"/>
    <n v="2.1690398107019804"/>
    <n v="0.46103349282296646"/>
    <x v="5"/>
  </r>
  <r>
    <x v="3"/>
    <d v="2020-03-01T00:00:00"/>
    <n v="484.15"/>
    <n v="1045"/>
    <n v="2.1584219766601263"/>
    <n v="0.46330143540669855"/>
    <x v="5"/>
  </r>
  <r>
    <x v="3"/>
    <d v="2020-04-01T00:00:00"/>
    <n v="471.17"/>
    <n v="1045"/>
    <n v="2.217883141965745"/>
    <n v="0.45088038277511966"/>
    <x v="5"/>
  </r>
  <r>
    <x v="3"/>
    <d v="2020-05-01T00:00:00"/>
    <n v="441.09"/>
    <n v="1045"/>
    <n v="2.3691310163458708"/>
    <n v="0.4220956937799043"/>
    <x v="5"/>
  </r>
  <r>
    <x v="3"/>
    <d v="2020-06-01T00:00:00"/>
    <n v="450.45"/>
    <n v="1045"/>
    <n v="2.3199023199023201"/>
    <n v="0.43105263157894735"/>
    <x v="5"/>
  </r>
  <r>
    <x v="3"/>
    <d v="2020-07-01T00:00:00"/>
    <n v="449.96"/>
    <n v="1045"/>
    <n v="2.3224286603253623"/>
    <n v="0.43058373205741624"/>
    <x v="5"/>
  </r>
  <r>
    <x v="3"/>
    <d v="2020-08-01T00:00:00"/>
    <n v="443.28"/>
    <n v="1045"/>
    <n v="2.3574264573181738"/>
    <n v="0.42419138755980856"/>
    <x v="5"/>
  </r>
  <r>
    <x v="3"/>
    <d v="2020-09-01T00:00:00"/>
    <n v="445.76"/>
    <n v="1045"/>
    <n v="2.344310839913855"/>
    <n v="0.42656459330143542"/>
    <x v="5"/>
  </r>
  <r>
    <x v="3"/>
    <d v="2020-10-01T00:00:00"/>
    <n v="490.48"/>
    <n v="1045"/>
    <n v="2.1305659761865927"/>
    <n v="0.46935885167464114"/>
    <x v="5"/>
  </r>
  <r>
    <x v="3"/>
    <d v="2020-11-01T00:00:00"/>
    <n v="572.64"/>
    <n v="1045"/>
    <n v="1.8248812517462978"/>
    <n v="0.54798086124401912"/>
    <x v="5"/>
  </r>
  <r>
    <x v="3"/>
    <d v="2020-12-01T00:00:00"/>
    <n v="591.82000000000005"/>
    <n v="1045"/>
    <n v="1.7657395829813118"/>
    <n v="0.56633492822966514"/>
    <x v="5"/>
  </r>
  <r>
    <x v="3"/>
    <d v="2021-01-01T00:00:00"/>
    <n v="614.30999999999995"/>
    <n v="1100"/>
    <n v="1.7906268821930298"/>
    <n v="0.55846363636363627"/>
    <x v="6"/>
  </r>
  <r>
    <x v="3"/>
    <d v="2021-02-01T00:00:00"/>
    <n v="591.44000000000005"/>
    <n v="1100"/>
    <n v="1.8598674421750303"/>
    <n v="0.5376727272727273"/>
    <x v="6"/>
  </r>
  <r>
    <x v="3"/>
    <d v="2021-03-01T00:00:00"/>
    <n v="580.76"/>
    <n v="1100"/>
    <n v="1.8940698395206281"/>
    <n v="0.5279636363636363"/>
    <x v="6"/>
  </r>
  <r>
    <x v="3"/>
    <d v="2021-04-01T00:00:00"/>
    <n v="587.33000000000004"/>
    <n v="1100"/>
    <n v="1.8728823659612142"/>
    <n v="0.53393636363636365"/>
    <x v="6"/>
  </r>
  <r>
    <x v="3"/>
    <d v="2021-05-01T00:00:00"/>
    <n v="588.24"/>
    <n v="1100"/>
    <n v="1.8699850401196789"/>
    <n v="0.53476363636363633"/>
    <x v="6"/>
  </r>
  <r>
    <x v="3"/>
    <d v="2021-06-01T00:00:00"/>
    <n v="584.99"/>
    <n v="1100"/>
    <n v="1.880374023487581"/>
    <n v="0.5318090909090909"/>
    <x v="6"/>
  </r>
  <r>
    <x v="3"/>
    <d v="2021-07-01T00:00:00"/>
    <n v="582.35"/>
    <n v="1100"/>
    <n v="1.8888984287799433"/>
    <n v="0.52940909090909094"/>
    <x v="6"/>
  </r>
  <r>
    <x v="3"/>
    <d v="2021-08-01T00:00:00"/>
    <n v="594.59"/>
    <n v="1100"/>
    <n v="1.8500142955650112"/>
    <n v="0.5405363636363637"/>
    <x v="6"/>
  </r>
  <r>
    <x v="3"/>
    <d v="2021-09-01T00:00:00"/>
    <n v="617.65"/>
    <n v="1100"/>
    <n v="1.7809439002671417"/>
    <n v="0.5615"/>
    <x v="6"/>
  </r>
  <r>
    <x v="3"/>
    <d v="2021-10-01T00:00:00"/>
    <n v="644.09"/>
    <n v="1100"/>
    <n v="1.7078358614479343"/>
    <n v="0.58553636363636363"/>
    <x v="6"/>
  </r>
  <r>
    <x v="3"/>
    <d v="2021-11-01T00:00:00"/>
    <n v="631.95000000000005"/>
    <n v="1100"/>
    <n v="1.7406440382941688"/>
    <n v="0.57450000000000001"/>
    <x v="6"/>
  </r>
  <r>
    <x v="3"/>
    <d v="2021-12-01T00:00:00"/>
    <n v="621.55999999999995"/>
    <n v="1100"/>
    <n v="1.7697406525516444"/>
    <n v="0.56505454545454536"/>
    <x v="6"/>
  </r>
  <r>
    <x v="3"/>
    <d v="2022-01-01T00:00:00"/>
    <n v="661.09"/>
    <n v="1212"/>
    <n v="1.833335854422242"/>
    <n v="0.54545379537953798"/>
    <x v="7"/>
  </r>
  <r>
    <x v="3"/>
    <d v="2022-02-01T00:00:00"/>
    <n v="670.98"/>
    <n v="1212"/>
    <n v="1.8063131538943038"/>
    <n v="0.55361386138613866"/>
    <x v="7"/>
  </r>
  <r>
    <x v="3"/>
    <d v="2022-03-01T00:00:00"/>
    <n v="704.65"/>
    <n v="1212"/>
    <n v="1.7200028382885122"/>
    <n v="0.58139438943894384"/>
    <x v="7"/>
  </r>
  <r>
    <x v="3"/>
    <d v="2022-04-01T00:00:00"/>
    <n v="741.55"/>
    <n v="1212"/>
    <n v="1.6344144022655249"/>
    <n v="0.61183993399339931"/>
    <x v="7"/>
  </r>
  <r>
    <x v="3"/>
    <d v="2022-05-01T00:00:00"/>
    <n v="696.34"/>
    <n v="1212"/>
    <n v="1.7405290518999339"/>
    <n v="0.57453795379537953"/>
    <x v="7"/>
  </r>
  <r>
    <x v="3"/>
    <d v="2022-06-01T00:00:00"/>
    <n v="698.36"/>
    <n v="1212"/>
    <n v="1.7354945873188612"/>
    <n v="0.57620462046204624"/>
    <x v="7"/>
  </r>
  <r>
    <x v="3"/>
    <d v="2022-07-01T00:00:00"/>
    <n v="703.93"/>
    <n v="1212"/>
    <n v="1.7217621070276876"/>
    <n v="0.58080033003300324"/>
    <x v="7"/>
  </r>
  <r>
    <x v="3"/>
    <d v="2022-08-01T00:00:00"/>
    <n v="689.31"/>
    <n v="1212"/>
    <n v="1.7582800191495844"/>
    <n v="0.56873762376237624"/>
    <x v="7"/>
  </r>
  <r>
    <x v="3"/>
    <d v="2022-09-01T00:00:00"/>
    <n v="687.21"/>
    <n v="1212"/>
    <n v="1.7636530318243331"/>
    <n v="0.56700495049504951"/>
    <x v="7"/>
  </r>
  <r>
    <x v="3"/>
    <d v="2022-10-01T00:00:00"/>
    <n v="699.09"/>
    <n v="1212"/>
    <n v="1.7336823584946144"/>
    <n v="0.57680693069306932"/>
    <x v="7"/>
  </r>
  <r>
    <x v="3"/>
    <d v="2022-11-01T00:00:00"/>
    <n v="712.2"/>
    <n v="1212"/>
    <n v="1.7017691659646166"/>
    <n v="0.5876237623762377"/>
    <x v="7"/>
  </r>
  <r>
    <x v="3"/>
    <d v="2022-12-01T00:00:00"/>
    <n v="728.78"/>
    <n v="1212"/>
    <n v="1.6630533219901755"/>
    <n v="0.60130363036303625"/>
    <x v="7"/>
  </r>
  <r>
    <x v="3"/>
    <d v="2023-01-01T00:00:00"/>
    <n v="729.73"/>
    <n v="1302"/>
    <n v="1.7842215613994217"/>
    <n v="0.56046850998463904"/>
    <x v="8"/>
  </r>
  <r>
    <x v="3"/>
    <d v="2023-02-01T00:00:00"/>
    <n v="719.74"/>
    <n v="1302"/>
    <n v="1.8089865784866757"/>
    <n v="0.55279569892473124"/>
    <x v="8"/>
  </r>
  <r>
    <x v="3"/>
    <d v="2023-03-01T00:00:00"/>
    <n v="693.32"/>
    <n v="1302"/>
    <n v="1.877920729244793"/>
    <n v="0.53250384024577579"/>
    <x v="8"/>
  </r>
  <r>
    <x v="3"/>
    <d v="2023-04-01T00:00:00"/>
    <n v="717.09"/>
    <n v="1302"/>
    <n v="1.8156716730117557"/>
    <n v="0.55076036866359446"/>
    <x v="8"/>
  </r>
  <r>
    <x v="3"/>
    <d v="2023-05-01T00:00:00"/>
    <n v="703.43"/>
    <n v="1320"/>
    <n v="1.8765193409436618"/>
    <n v="0.53290151515151507"/>
    <x v="8"/>
  </r>
  <r>
    <x v="3"/>
    <d v="2023-06-01T00:00:00"/>
    <n v="687.33"/>
    <n v="1320"/>
    <n v="1.9204748810614987"/>
    <n v="0.52070454545454548"/>
    <x v="8"/>
  </r>
  <r>
    <x v="3"/>
    <d v="2023-07-01T00:00:00"/>
    <n v="687.58"/>
    <n v="1320"/>
    <n v="1.9197766078129088"/>
    <n v="0.52089393939393946"/>
    <x v="8"/>
  </r>
  <r>
    <x v="3"/>
    <d v="2023-08-01T00:00:00"/>
    <n v="689.98"/>
    <n v="1320"/>
    <n v="1.9130989304037798"/>
    <n v="0.52271212121212118"/>
    <x v="8"/>
  </r>
  <r>
    <x v="3"/>
    <d v="2023-09-01T00:00:00"/>
    <n v="662.2"/>
    <n v="1320"/>
    <n v="1.9933554817275747"/>
    <n v="0.50166666666666671"/>
    <x v="8"/>
  </r>
  <r>
    <x v="3"/>
    <d v="2023-10-01T00:00:00"/>
    <n v="647.76"/>
    <n v="1320"/>
    <n v="2.0377917747313821"/>
    <n v="0.49072727272727273"/>
    <x v="8"/>
  </r>
  <r>
    <x v="3"/>
    <d v="2023-11-01T00:00:00"/>
    <n v="667.58"/>
    <n v="1320"/>
    <n v="1.9772911111776865"/>
    <n v="0.50574242424242433"/>
    <x v="8"/>
  </r>
  <r>
    <x v="3"/>
    <d v="2023-12-01T00:00:00"/>
    <n v="698.74"/>
    <n v="1320"/>
    <n v="1.889114692160174"/>
    <n v="0.52934848484848485"/>
    <x v="8"/>
  </r>
  <r>
    <x v="3"/>
    <d v="2024-01-01T00:00:00"/>
    <n v="742.52"/>
    <n v="1412"/>
    <n v="1.901632279265205"/>
    <n v="0.52586402266288945"/>
    <x v="9"/>
  </r>
  <r>
    <x v="3"/>
    <d v="2024-02-01T00:00:00"/>
    <n v="741.91"/>
    <n v="1412"/>
    <n v="1.9031958054211429"/>
    <n v="0.52543201133144468"/>
    <x v="9"/>
  </r>
  <r>
    <x v="3"/>
    <d v="2024-03-01T00:00:00"/>
    <n v="747.68"/>
    <n v="1412"/>
    <n v="1.8885084528140381"/>
    <n v="0.52951841359773366"/>
    <x v="9"/>
  </r>
  <r>
    <x v="3"/>
    <d v="2024-04-01T00:00:00"/>
    <n v="727.95"/>
    <n v="1412"/>
    <n v="1.9396936602788653"/>
    <n v="0.51554532577903689"/>
    <x v="9"/>
  </r>
  <r>
    <x v="3"/>
    <d v="2024-05-01T00:00:00"/>
    <n v="737.37"/>
    <n v="1412"/>
    <n v="1.9149138153165981"/>
    <n v="0.52221671388101987"/>
    <x v="9"/>
  </r>
  <r>
    <x v="3"/>
    <d v="2024-06-01T00:00:00"/>
    <n v="738.93"/>
    <n v="1412"/>
    <n v="1.9108711244637517"/>
    <n v="0.52332152974504242"/>
    <x v="9"/>
  </r>
  <r>
    <x v="3"/>
    <d v="2024-07-01T00:00:00"/>
    <n v="694.31"/>
    <n v="1412"/>
    <n v="2.0336737192320435"/>
    <n v="0.4917209631728045"/>
    <x v="9"/>
  </r>
  <r>
    <x v="3"/>
    <d v="2024-08-01T00:00:00"/>
    <n v="673.14"/>
    <n v="1412"/>
    <n v="2.0976319933446237"/>
    <n v="0.476728045325779"/>
    <x v="9"/>
  </r>
  <r>
    <x v="3"/>
    <d v="2024-09-01T00:00:00"/>
    <n v="682.51"/>
    <n v="1412"/>
    <n v="2.0688341562760986"/>
    <n v="0.48336402266288953"/>
    <x v="9"/>
  </r>
  <r>
    <x v="3"/>
    <d v="2024-10-01T00:00:00"/>
    <n v="711.05"/>
    <n v="1412"/>
    <n v="1.9857956543140427"/>
    <n v="0.50357648725212456"/>
    <x v="9"/>
  </r>
  <r>
    <x v="3"/>
    <d v="2024-11-01T00:00:00"/>
    <n v="742.25"/>
    <n v="1412"/>
    <n v="1.9023240148198046"/>
    <n v="0.52567280453257792"/>
    <x v="9"/>
  </r>
  <r>
    <x v="3"/>
    <d v="2024-12-01T00:00:00"/>
    <n v="743.19"/>
    <n v="1412"/>
    <n v="1.8999179213929143"/>
    <n v="0.5263385269121813"/>
    <x v="9"/>
  </r>
  <r>
    <x v="3"/>
    <d v="2025-01-01T00:00:00"/>
    <n v="756.03"/>
    <n v="1518"/>
    <n v="2.007856831078132"/>
    <n v="0.49804347826086953"/>
    <x v="10"/>
  </r>
  <r>
    <x v="3"/>
    <d v="2025-02-01T00:00:00"/>
    <n v="772.3"/>
    <n v="1518"/>
    <n v="1.9655574258707758"/>
    <n v="0.5087615283267457"/>
    <x v="10"/>
  </r>
  <r>
    <x v="3"/>
    <d v="2025-03-01T00:00:00"/>
    <n v="782.65"/>
    <n v="1518"/>
    <n v="1.9395643007730148"/>
    <n v="0.51557971014492754"/>
    <x v="10"/>
  </r>
  <r>
    <x v="3"/>
    <d v="2025-04-01T00:00:00"/>
    <n v="775.84"/>
    <n v="1518"/>
    <n v="1.9565889874200866"/>
    <n v="0.51109354413702246"/>
    <x v="10"/>
  </r>
  <r>
    <x v="3"/>
    <d v="2025-05-01T00:00:00"/>
    <n v="774.33"/>
    <n v="1518"/>
    <n v="1.9604044787106272"/>
    <n v="0.51009881422924908"/>
    <x v="10"/>
  </r>
  <r>
    <x v="3"/>
    <d v="2025-06-01T00:00:00"/>
    <n v="773.35"/>
    <n v="1518"/>
    <n v="1.9628887308463179"/>
    <n v="0.50945322793148884"/>
    <x v="10"/>
  </r>
  <r>
    <x v="4"/>
    <d v="2015-01-01T00:00:00"/>
    <n v="335.82"/>
    <n v="788"/>
    <n v="2.3464951462092789"/>
    <n v="0.4261675126903553"/>
    <x v="0"/>
  </r>
  <r>
    <x v="4"/>
    <d v="2015-02-01T00:00:00"/>
    <n v="341.64"/>
    <n v="788"/>
    <n v="2.3065214846036763"/>
    <n v="0.43355329949238575"/>
    <x v="0"/>
  </r>
  <r>
    <x v="4"/>
    <d v="2015-03-01T00:00:00"/>
    <n v="349.69"/>
    <n v="788"/>
    <n v="2.253424461666047"/>
    <n v="0.4437690355329949"/>
    <x v="0"/>
  </r>
  <r>
    <x v="4"/>
    <d v="2015-04-01T00:00:00"/>
    <n v="359.39"/>
    <n v="788"/>
    <n v="2.1926041347839393"/>
    <n v="0.45607868020304565"/>
    <x v="0"/>
  </r>
  <r>
    <x v="4"/>
    <d v="2015-05-01T00:00:00"/>
    <n v="364.8"/>
    <n v="788"/>
    <n v="2.1600877192982457"/>
    <n v="0.46294416243654823"/>
    <x v="0"/>
  </r>
  <r>
    <x v="4"/>
    <d v="2015-06-01T00:00:00"/>
    <n v="359.69"/>
    <n v="788"/>
    <n v="2.1907753899190969"/>
    <n v="0.45645939086294418"/>
    <x v="0"/>
  </r>
  <r>
    <x v="4"/>
    <d v="2015-07-01T00:00:00"/>
    <n v="360.28"/>
    <n v="788"/>
    <n v="2.1871877428666595"/>
    <n v="0.45720812182741111"/>
    <x v="0"/>
  </r>
  <r>
    <x v="4"/>
    <d v="2015-08-01T00:00:00"/>
    <n v="354.94"/>
    <n v="788"/>
    <n v="2.2200935369358201"/>
    <n v="0.45043147208121825"/>
    <x v="0"/>
  </r>
  <r>
    <x v="4"/>
    <d v="2015-09-01T00:00:00"/>
    <n v="356.51"/>
    <n v="788"/>
    <n v="2.2103166811590138"/>
    <n v="0.45242385786802031"/>
    <x v="0"/>
  </r>
  <r>
    <x v="4"/>
    <d v="2015-10-01T00:00:00"/>
    <n v="349.93"/>
    <n v="788"/>
    <n v="2.2518789472180152"/>
    <n v="0.44407360406091373"/>
    <x v="0"/>
  </r>
  <r>
    <x v="4"/>
    <d v="2015-11-01T00:00:00"/>
    <n v="375.26"/>
    <n v="788"/>
    <n v="2.0998774183232958"/>
    <n v="0.47621827411167511"/>
    <x v="0"/>
  </r>
  <r>
    <x v="4"/>
    <d v="2015-12-01T00:00:00"/>
    <n v="387.79"/>
    <n v="788"/>
    <n v="2.0320276438278451"/>
    <n v="0.49211928934010157"/>
    <x v="0"/>
  </r>
  <r>
    <x v="4"/>
    <d v="2016-01-01T00:00:00"/>
    <n v="398.46"/>
    <n v="880"/>
    <n v="2.2085027355317974"/>
    <n v="0.4527954545454545"/>
    <x v="1"/>
  </r>
  <r>
    <x v="4"/>
    <d v="2016-02-01T00:00:00"/>
    <n v="392.75"/>
    <n v="880"/>
    <n v="2.2406110757479314"/>
    <n v="0.44630681818181817"/>
    <x v="1"/>
  </r>
  <r>
    <x v="4"/>
    <d v="2016-03-01T00:00:00"/>
    <n v="400.78"/>
    <n v="880"/>
    <n v="2.1957183492190229"/>
    <n v="0.45543181818181816"/>
    <x v="1"/>
  </r>
  <r>
    <x v="4"/>
    <d v="2016-04-01T00:00:00"/>
    <n v="396.34"/>
    <n v="880"/>
    <n v="2.2203158903971341"/>
    <n v="0.45038636363636358"/>
    <x v="1"/>
  </r>
  <r>
    <x v="4"/>
    <d v="2016-05-01T00:00:00"/>
    <n v="410.05"/>
    <n v="880"/>
    <n v="2.1460797463723935"/>
    <n v="0.46596590909090913"/>
    <x v="1"/>
  </r>
  <r>
    <x v="4"/>
    <d v="2016-06-01T00:00:00"/>
    <n v="416.49"/>
    <n v="880"/>
    <n v="2.1128958678479677"/>
    <n v="0.4732840909090909"/>
    <x v="1"/>
  </r>
  <r>
    <x v="4"/>
    <d v="2016-07-01T00:00:00"/>
    <n v="420.24"/>
    <n v="880"/>
    <n v="2.0940415000951837"/>
    <n v="0.47754545454545455"/>
    <x v="1"/>
  </r>
  <r>
    <x v="4"/>
    <d v="2016-08-01T00:00:00"/>
    <n v="431.14"/>
    <n v="880"/>
    <n v="2.0411003386371016"/>
    <n v="0.48993181818181819"/>
    <x v="1"/>
  </r>
  <r>
    <x v="4"/>
    <d v="2016-09-01T00:00:00"/>
    <n v="424.87"/>
    <n v="880"/>
    <n v="2.0712217854873254"/>
    <n v="0.4828068181818182"/>
    <x v="1"/>
  </r>
  <r>
    <x v="4"/>
    <d v="2016-10-01T00:00:00"/>
    <n v="432.98"/>
    <n v="880"/>
    <n v="2.0324264400203242"/>
    <n v="0.49202272727272728"/>
    <x v="1"/>
  </r>
  <r>
    <x v="4"/>
    <d v="2016-11-01T00:00:00"/>
    <n v="421.38"/>
    <n v="880"/>
    <n v="2.0883762874365179"/>
    <n v="0.47884090909090909"/>
    <x v="1"/>
  </r>
  <r>
    <x v="4"/>
    <d v="2016-12-01T00:00:00"/>
    <n v="409.86"/>
    <n v="880"/>
    <n v="2.1470746108427265"/>
    <n v="0.46575"/>
    <x v="1"/>
  </r>
  <r>
    <x v="4"/>
    <d v="2017-01-01T00:00:00"/>
    <n v="397.69"/>
    <n v="937"/>
    <n v="2.3561065151248459"/>
    <n v="0.4244290288153682"/>
    <x v="2"/>
  </r>
  <r>
    <x v="4"/>
    <d v="2017-02-01T00:00:00"/>
    <n v="387.27"/>
    <n v="937"/>
    <n v="2.419500606811785"/>
    <n v="0.41330843116328708"/>
    <x v="2"/>
  </r>
  <r>
    <x v="4"/>
    <d v="2017-03-01T00:00:00"/>
    <n v="389.52"/>
    <n v="937"/>
    <n v="2.4055247484082973"/>
    <n v="0.415709711846318"/>
    <x v="2"/>
  </r>
  <r>
    <x v="4"/>
    <d v="2017-04-01T00:00:00"/>
    <n v="404.55"/>
    <n v="937"/>
    <n v="2.3161537510814485"/>
    <n v="0.43175026680896478"/>
    <x v="2"/>
  </r>
  <r>
    <x v="4"/>
    <d v="2017-05-01T00:00:00"/>
    <n v="403.51"/>
    <n v="937"/>
    <n v="2.322123367450621"/>
    <n v="0.43064034151547492"/>
    <x v="2"/>
  </r>
  <r>
    <x v="4"/>
    <d v="2017-06-01T00:00:00"/>
    <n v="394.49"/>
    <n v="937"/>
    <n v="2.3752186367208292"/>
    <n v="0.42101387406616864"/>
    <x v="2"/>
  </r>
  <r>
    <x v="4"/>
    <d v="2017-07-01T00:00:00"/>
    <n v="399"/>
    <n v="937"/>
    <n v="2.3483709273182956"/>
    <n v="0.42582710779082178"/>
    <x v="2"/>
  </r>
  <r>
    <x v="4"/>
    <d v="2017-08-01T00:00:00"/>
    <n v="385.11"/>
    <n v="937"/>
    <n v="2.4330710706032042"/>
    <n v="0.41100320170757737"/>
    <x v="2"/>
  </r>
  <r>
    <x v="4"/>
    <d v="2017-09-01T00:00:00"/>
    <n v="376.46"/>
    <n v="937"/>
    <n v="2.4889762524571006"/>
    <n v="0.40177161152614727"/>
    <x v="2"/>
  </r>
  <r>
    <x v="4"/>
    <d v="2017-10-01T00:00:00"/>
    <n v="388.06"/>
    <n v="937"/>
    <n v="2.4145750657114879"/>
    <n v="0.41415154749199573"/>
    <x v="2"/>
  </r>
  <r>
    <x v="4"/>
    <d v="2017-11-01T00:00:00"/>
    <n v="381.26"/>
    <n v="937"/>
    <n v="2.457640455332319"/>
    <n v="0.40689434364994664"/>
    <x v="2"/>
  </r>
  <r>
    <x v="4"/>
    <d v="2017-12-01T00:00:00"/>
    <n v="374.94"/>
    <n v="937"/>
    <n v="2.4990665173094362"/>
    <n v="0.40014941302027746"/>
    <x v="2"/>
  </r>
  <r>
    <x v="4"/>
    <d v="2018-01-01T00:00:00"/>
    <n v="399.72"/>
    <n v="954"/>
    <n v="2.3866706694686277"/>
    <n v="0.41899371069182395"/>
    <x v="3"/>
  </r>
  <r>
    <x v="4"/>
    <d v="2018-02-01T00:00:00"/>
    <n v="392.91"/>
    <n v="954"/>
    <n v="2.4280369550278689"/>
    <n v="0.41185534591194972"/>
    <x v="3"/>
  </r>
  <r>
    <x v="4"/>
    <d v="2018-03-01T00:00:00"/>
    <n v="401.65"/>
    <n v="954"/>
    <n v="2.3752022905514751"/>
    <n v="0.42101677148846955"/>
    <x v="3"/>
  </r>
  <r>
    <x v="4"/>
    <d v="2018-04-01T00:00:00"/>
    <n v="394.07"/>
    <n v="954"/>
    <n v="2.420889689649047"/>
    <n v="0.41307127882599581"/>
    <x v="3"/>
  </r>
  <r>
    <x v="4"/>
    <d v="2018-05-01T00:00:00"/>
    <n v="397.17"/>
    <n v="954"/>
    <n v="2.4019941083163379"/>
    <n v="0.41632075471698116"/>
    <x v="3"/>
  </r>
  <r>
    <x v="4"/>
    <d v="2018-06-01T00:00:00"/>
    <n v="412.44"/>
    <n v="954"/>
    <n v="2.3130637183590341"/>
    <n v="0.4323270440251572"/>
    <x v="3"/>
  </r>
  <r>
    <x v="4"/>
    <d v="2018-07-01T00:00:00"/>
    <n v="391.32"/>
    <n v="954"/>
    <n v="2.4379024839006442"/>
    <n v="0.41018867924528302"/>
    <x v="3"/>
  </r>
  <r>
    <x v="4"/>
    <d v="2018-08-01T00:00:00"/>
    <n v="389.15"/>
    <n v="954"/>
    <n v="2.4514968521135811"/>
    <n v="0.40791404612159327"/>
    <x v="3"/>
  </r>
  <r>
    <x v="4"/>
    <d v="2018-09-01T00:00:00"/>
    <n v="387.39"/>
    <n v="954"/>
    <n v="2.4626345543250987"/>
    <n v="0.40606918238993711"/>
    <x v="3"/>
  </r>
  <r>
    <x v="4"/>
    <d v="2018-10-01T00:00:00"/>
    <n v="406.42"/>
    <n v="954"/>
    <n v="2.3473254268982826"/>
    <n v="0.42601677148846961"/>
    <x v="3"/>
  </r>
  <r>
    <x v="4"/>
    <d v="2018-11-01T00:00:00"/>
    <n v="416.41"/>
    <n v="954"/>
    <n v="2.2910112629379698"/>
    <n v="0.4364884696016772"/>
    <x v="3"/>
  </r>
  <r>
    <x v="4"/>
    <d v="2018-12-01T00:00:00"/>
    <n v="419.05"/>
    <n v="954"/>
    <n v="2.2765779739887839"/>
    <n v="0.43925576519916143"/>
    <x v="3"/>
  </r>
  <r>
    <x v="4"/>
    <d v="2019-01-01T00:00:00"/>
    <n v="401.63"/>
    <n v="998"/>
    <n v="2.4848741378881058"/>
    <n v="0.40243486973947895"/>
    <x v="4"/>
  </r>
  <r>
    <x v="4"/>
    <d v="2019-02-01T00:00:00"/>
    <n v="414.03"/>
    <n v="998"/>
    <n v="2.4104533487911506"/>
    <n v="0.41485971943887773"/>
    <x v="4"/>
  </r>
  <r>
    <x v="4"/>
    <d v="2019-03-01T00:00:00"/>
    <n v="443.86"/>
    <n v="998"/>
    <n v="2.2484567205875727"/>
    <n v="0.44474949899799598"/>
    <x v="4"/>
  </r>
  <r>
    <x v="4"/>
    <d v="2019-04-01T00:00:00"/>
    <n v="461.91"/>
    <n v="998"/>
    <n v="2.1605940551189624"/>
    <n v="0.46283567134268538"/>
    <x v="4"/>
  </r>
  <r>
    <x v="4"/>
    <d v="2019-05-01T00:00:00"/>
    <n v="451.38"/>
    <n v="998"/>
    <n v="2.2109973857946743"/>
    <n v="0.45228456913827653"/>
    <x v="4"/>
  </r>
  <r>
    <x v="4"/>
    <d v="2019-06-01T00:00:00"/>
    <n v="446.54"/>
    <n v="998"/>
    <n v="2.2349621534464998"/>
    <n v="0.44743486973947899"/>
    <x v="4"/>
  </r>
  <r>
    <x v="4"/>
    <d v="2019-07-01T00:00:00"/>
    <n v="443.68"/>
    <n v="998"/>
    <n v="2.2493689145329969"/>
    <n v="0.44456913827655309"/>
    <x v="4"/>
  </r>
  <r>
    <x v="4"/>
    <d v="2019-08-01T00:00:00"/>
    <n v="441.28"/>
    <n v="998"/>
    <n v="2.2616026105873823"/>
    <n v="0.44216432865731459"/>
    <x v="4"/>
  </r>
  <r>
    <x v="4"/>
    <d v="2019-09-01T00:00:00"/>
    <n v="424.81"/>
    <n v="998"/>
    <n v="2.3492855629575575"/>
    <n v="0.42566132264529061"/>
    <x v="4"/>
  </r>
  <r>
    <x v="4"/>
    <d v="2019-10-01T00:00:00"/>
    <n v="421.86"/>
    <n v="998"/>
    <n v="2.3657137438960794"/>
    <n v="0.42270541082164331"/>
    <x v="4"/>
  </r>
  <r>
    <x v="4"/>
    <d v="2019-11-01T00:00:00"/>
    <n v="413.63"/>
    <n v="998"/>
    <n v="2.4127843725068296"/>
    <n v="0.41445891783567135"/>
    <x v="4"/>
  </r>
  <r>
    <x v="4"/>
    <d v="2019-12-01T00:00:00"/>
    <n v="458.88"/>
    <n v="998"/>
    <n v="2.1748605299860531"/>
    <n v="0.4597995991983968"/>
    <x v="4"/>
  </r>
  <r>
    <x v="4"/>
    <d v="2020-01-01T00:00:00"/>
    <n v="452.32"/>
    <n v="1039"/>
    <n v="2.2970463388751328"/>
    <n v="0.4353416746871992"/>
    <x v="5"/>
  </r>
  <r>
    <x v="4"/>
    <d v="2020-02-01T00:00:00"/>
    <n v="447.91"/>
    <n v="1045"/>
    <n v="2.3330579803978475"/>
    <n v="0.42862200956937802"/>
    <x v="5"/>
  </r>
  <r>
    <x v="4"/>
    <d v="2020-03-01T00:00:00"/>
    <n v="465.47"/>
    <n v="1045"/>
    <n v="2.2450426450684255"/>
    <n v="0.44542583732057417"/>
    <x v="5"/>
  </r>
  <r>
    <x v="4"/>
    <d v="2020-04-01T00:00:00"/>
    <n v="511.23"/>
    <n v="1045"/>
    <n v="2.0440897443420769"/>
    <n v="0.48921531100478471"/>
    <x v="5"/>
  </r>
  <r>
    <x v="4"/>
    <d v="2020-05-01T00:00:00"/>
    <n v="531.27"/>
    <n v="1045"/>
    <n v="1.9669847723379827"/>
    <n v="0.50839234449760762"/>
    <x v="5"/>
  </r>
  <r>
    <x v="4"/>
    <d v="2020-06-01T00:00:00"/>
    <n v="506.04"/>
    <n v="1045"/>
    <n v="2.0650541459173186"/>
    <n v="0.48424880382775121"/>
    <x v="5"/>
  </r>
  <r>
    <x v="4"/>
    <d v="2020-07-01T00:00:00"/>
    <n v="526.14"/>
    <n v="1045"/>
    <n v="1.9861633785684418"/>
    <n v="0.50348325358851675"/>
    <x v="5"/>
  </r>
  <r>
    <x v="4"/>
    <d v="2020-08-01T00:00:00"/>
    <n v="505.54"/>
    <n v="1045"/>
    <n v="2.0670965700043515"/>
    <n v="0.48377033492822968"/>
    <x v="5"/>
  </r>
  <r>
    <x v="4"/>
    <d v="2020-09-01T00:00:00"/>
    <n v="524.25"/>
    <n v="1045"/>
    <n v="1.9933237958989032"/>
    <n v="0.50167464114832538"/>
    <x v="5"/>
  </r>
  <r>
    <x v="4"/>
    <d v="2020-10-01T00:00:00"/>
    <n v="521.12"/>
    <n v="1045"/>
    <n v="2.0052962849247775"/>
    <n v="0.49867942583732056"/>
    <x v="5"/>
  </r>
  <r>
    <x v="4"/>
    <d v="2020-11-01T00:00:00"/>
    <n v="547.29"/>
    <n v="1045"/>
    <n v="1.9094081748250471"/>
    <n v="0.52372248803827748"/>
    <x v="5"/>
  </r>
  <r>
    <x v="4"/>
    <d v="2020-12-01T00:00:00"/>
    <n v="540.36"/>
    <n v="1045"/>
    <n v="1.9338959212376934"/>
    <n v="0.51709090909090916"/>
    <x v="5"/>
  </r>
  <r>
    <x v="4"/>
    <d v="2021-01-01T00:00:00"/>
    <n v="559.73"/>
    <n v="1100"/>
    <n v="1.9652332374537722"/>
    <n v="0.5088454545454546"/>
    <x v="6"/>
  </r>
  <r>
    <x v="4"/>
    <d v="2021-02-01T00:00:00"/>
    <n v="572.77"/>
    <n v="1100"/>
    <n v="1.9204916458613406"/>
    <n v="0.52069999999999994"/>
    <x v="6"/>
  </r>
  <r>
    <x v="4"/>
    <d v="2021-03-01T00:00:00"/>
    <n v="577.16999999999996"/>
    <n v="1100"/>
    <n v="1.9058509624547362"/>
    <n v="0.52469999999999994"/>
    <x v="6"/>
  </r>
  <r>
    <x v="4"/>
    <d v="2021-04-01T00:00:00"/>
    <n v="583.61"/>
    <n v="1100"/>
    <n v="1.884820342351913"/>
    <n v="0.5305545454545455"/>
    <x v="6"/>
  </r>
  <r>
    <x v="4"/>
    <d v="2021-05-01T00:00:00"/>
    <n v="608.89"/>
    <n v="1100"/>
    <n v="1.8065660464123241"/>
    <n v="0.5535363636363636"/>
    <x v="6"/>
  </r>
  <r>
    <x v="4"/>
    <d v="2021-06-01T00:00:00"/>
    <n v="618.57000000000005"/>
    <n v="1100"/>
    <n v="1.7782950999886835"/>
    <n v="0.56233636363636363"/>
    <x v="6"/>
  </r>
  <r>
    <x v="4"/>
    <d v="2021-07-01T00:00:00"/>
    <n v="619.83000000000004"/>
    <n v="1100"/>
    <n v="1.7746801542358388"/>
    <n v="0.56348181818181819"/>
    <x v="6"/>
  </r>
  <r>
    <x v="4"/>
    <d v="2021-08-01T00:00:00"/>
    <n v="600.47"/>
    <n v="1100"/>
    <n v="1.8318983462954019"/>
    <n v="0.54588181818181825"/>
    <x v="6"/>
  </r>
  <r>
    <x v="4"/>
    <d v="2021-09-01T00:00:00"/>
    <n v="610.85"/>
    <n v="1100"/>
    <n v="1.8007694196611279"/>
    <n v="0.55531818181818182"/>
    <x v="6"/>
  </r>
  <r>
    <x v="4"/>
    <d v="2021-10-01T00:00:00"/>
    <n v="639.89"/>
    <n v="1100"/>
    <n v="1.7190454609385988"/>
    <n v="0.5817181818181818"/>
    <x v="6"/>
  </r>
  <r>
    <x v="4"/>
    <d v="2021-11-01T00:00:00"/>
    <n v="638.96"/>
    <n v="1100"/>
    <n v="1.7215475147114059"/>
    <n v="0.58087272727272732"/>
    <x v="6"/>
  </r>
  <r>
    <x v="4"/>
    <d v="2021-12-01T00:00:00"/>
    <n v="628.46"/>
    <n v="1100"/>
    <n v="1.7503102822773127"/>
    <n v="0.57132727272727279"/>
    <x v="6"/>
  </r>
  <r>
    <x v="4"/>
    <d v="2022-01-01T00:00:00"/>
    <n v="636.57000000000005"/>
    <n v="1212"/>
    <n v="1.9039540034874403"/>
    <n v="0.5252227722772278"/>
    <x v="7"/>
  </r>
  <r>
    <x v="4"/>
    <d v="2022-02-01T00:00:00"/>
    <n v="652.9"/>
    <n v="1212"/>
    <n v="1.8563332822790628"/>
    <n v="0.53869636963696366"/>
    <x v="7"/>
  </r>
  <r>
    <x v="4"/>
    <d v="2022-03-01T00:00:00"/>
    <n v="701.59"/>
    <n v="1212"/>
    <n v="1.7275046679684716"/>
    <n v="0.57886963696369642"/>
    <x v="7"/>
  </r>
  <r>
    <x v="4"/>
    <d v="2022-04-01T00:00:00"/>
    <n v="739.28"/>
    <n v="1212"/>
    <n v="1.6394329618006709"/>
    <n v="0.60996699669966992"/>
    <x v="7"/>
  </r>
  <r>
    <x v="4"/>
    <d v="2022-05-01T00:00:00"/>
    <n v="713.68"/>
    <n v="1212"/>
    <n v="1.6982401076112545"/>
    <n v="0.58884488448844885"/>
    <x v="7"/>
  </r>
  <r>
    <x v="4"/>
    <d v="2022-06-01T00:00:00"/>
    <n v="701.26"/>
    <n v="1212"/>
    <n v="1.7283175997490232"/>
    <n v="0.57859735973597359"/>
    <x v="7"/>
  </r>
  <r>
    <x v="4"/>
    <d v="2022-07-01T00:00:00"/>
    <n v="688.78"/>
    <n v="1212"/>
    <n v="1.7596329742443162"/>
    <n v="0.56830033003300329"/>
    <x v="7"/>
  </r>
  <r>
    <x v="4"/>
    <d v="2022-08-01T00:00:00"/>
    <n v="685.69"/>
    <n v="1212"/>
    <n v="1.7675626011754582"/>
    <n v="0.56575082508250829"/>
    <x v="7"/>
  </r>
  <r>
    <x v="4"/>
    <d v="2022-09-01T00:00:00"/>
    <n v="678.73"/>
    <n v="1212"/>
    <n v="1.7856879760729598"/>
    <n v="0.56000825082508254"/>
    <x v="7"/>
  </r>
  <r>
    <x v="4"/>
    <d v="2022-10-01T00:00:00"/>
    <n v="696.31"/>
    <n v="1212"/>
    <n v="1.7406040413034425"/>
    <n v="0.57451320132013195"/>
    <x v="7"/>
  </r>
  <r>
    <x v="4"/>
    <d v="2022-11-01T00:00:00"/>
    <n v="709.84"/>
    <n v="1212"/>
    <n v="1.7074270258086328"/>
    <n v="0.58567656765676568"/>
    <x v="7"/>
  </r>
  <r>
    <x v="4"/>
    <d v="2022-12-01T00:00:00"/>
    <n v="698.66"/>
    <n v="1212"/>
    <n v="1.7347493773795553"/>
    <n v="0.57645214521452137"/>
    <x v="7"/>
  </r>
  <r>
    <x v="4"/>
    <d v="2023-01-01T00:00:00"/>
    <n v="695.18"/>
    <n v="1302"/>
    <n v="1.8728962283149688"/>
    <n v="0.53393241167434713"/>
    <x v="8"/>
  </r>
  <r>
    <x v="4"/>
    <d v="2023-02-01T00:00:00"/>
    <n v="678.9"/>
    <n v="1302"/>
    <n v="1.9178082191780823"/>
    <n v="0.52142857142857146"/>
    <x v="8"/>
  </r>
  <r>
    <x v="4"/>
    <d v="2023-03-01T00:00:00"/>
    <n v="679.76"/>
    <n v="1302"/>
    <n v="1.9153818994939391"/>
    <n v="0.52208909370199696"/>
    <x v="8"/>
  </r>
  <r>
    <x v="4"/>
    <d v="2023-04-01T00:00:00"/>
    <n v="694.05"/>
    <n v="1302"/>
    <n v="1.8759455370650531"/>
    <n v="0.53306451612903227"/>
    <x v="8"/>
  </r>
  <r>
    <x v="4"/>
    <d v="2023-05-01T00:00:00"/>
    <n v="703.83"/>
    <n v="1320"/>
    <n v="1.8754528792464089"/>
    <n v="0.53320454545454543"/>
    <x v="8"/>
  </r>
  <r>
    <x v="4"/>
    <d v="2023-06-01T00:00:00"/>
    <n v="701.22"/>
    <n v="1320"/>
    <n v="1.8824334730897578"/>
    <n v="0.53122727272727277"/>
    <x v="8"/>
  </r>
  <r>
    <x v="4"/>
    <d v="2023-07-01T00:00:00"/>
    <n v="690.31"/>
    <n v="1320"/>
    <n v="1.9121843809303067"/>
    <n v="0.52296212121212116"/>
    <x v="8"/>
  </r>
  <r>
    <x v="4"/>
    <d v="2023-08-01T00:00:00"/>
    <n v="685.13"/>
    <n v="1320"/>
    <n v="1.9266416592471503"/>
    <n v="0.51903787878787877"/>
    <x v="8"/>
  </r>
  <r>
    <x v="4"/>
    <d v="2023-09-01T00:00:00"/>
    <n v="681.23"/>
    <n v="1320"/>
    <n v="1.9376715646697884"/>
    <n v="0.51608333333333334"/>
    <x v="8"/>
  </r>
  <r>
    <x v="4"/>
    <d v="2023-10-01T00:00:00"/>
    <n v="675.01"/>
    <n v="1320"/>
    <n v="1.9555265847913363"/>
    <n v="0.51137121212121206"/>
    <x v="8"/>
  </r>
  <r>
    <x v="4"/>
    <d v="2023-11-01T00:00:00"/>
    <n v="683.44"/>
    <n v="1320"/>
    <n v="1.9314058293339575"/>
    <n v="0.51775757575757575"/>
    <x v="8"/>
  </r>
  <r>
    <x v="4"/>
    <d v="2023-12-01T00:00:00"/>
    <n v="697.22"/>
    <n v="1320"/>
    <n v="1.893233125842632"/>
    <n v="0.52819696969696972"/>
    <x v="8"/>
  </r>
  <r>
    <x v="4"/>
    <d v="2024-01-01T00:00:00"/>
    <n v="726.23"/>
    <n v="1412"/>
    <n v="1.9442876223785852"/>
    <n v="0.51432719546742212"/>
    <x v="9"/>
  </r>
  <r>
    <x v="4"/>
    <d v="2024-02-01T00:00:00"/>
    <n v="731.5"/>
    <n v="1412"/>
    <n v="1.9302802460697197"/>
    <n v="0.51805949008498586"/>
    <x v="9"/>
  </r>
  <r>
    <x v="4"/>
    <d v="2024-03-01T00:00:00"/>
    <n v="728.06"/>
    <n v="1412"/>
    <n v="1.9394005988517431"/>
    <n v="0.51562322946175632"/>
    <x v="9"/>
  </r>
  <r>
    <x v="4"/>
    <d v="2024-04-01T00:00:00"/>
    <n v="726.64"/>
    <n v="1412"/>
    <n v="1.9431905758009469"/>
    <n v="0.51461756373937673"/>
    <x v="9"/>
  </r>
  <r>
    <x v="4"/>
    <d v="2024-05-01T00:00:00"/>
    <n v="741.46"/>
    <n v="1412"/>
    <n v="1.9043508753000835"/>
    <n v="0.52511331444759213"/>
    <x v="9"/>
  </r>
  <r>
    <x v="4"/>
    <d v="2024-06-01T00:00:00"/>
    <n v="754.91"/>
    <n v="1412"/>
    <n v="1.8704216396656557"/>
    <n v="0.53463881019830028"/>
    <x v="9"/>
  </r>
  <r>
    <x v="4"/>
    <d v="2024-07-01T00:00:00"/>
    <n v="718.32"/>
    <n v="1412"/>
    <n v="1.9656977391691723"/>
    <n v="0.50872521246458924"/>
    <x v="9"/>
  </r>
  <r>
    <x v="4"/>
    <d v="2024-08-01T00:00:00"/>
    <n v="697.08"/>
    <n v="1412"/>
    <n v="2.0255924714523439"/>
    <n v="0.49368271954674225"/>
    <x v="9"/>
  </r>
  <r>
    <x v="4"/>
    <d v="2024-09-01T00:00:00"/>
    <n v="698.44"/>
    <n v="1412"/>
    <n v="2.0216482446595267"/>
    <n v="0.49464589235127482"/>
    <x v="9"/>
  </r>
  <r>
    <x v="4"/>
    <d v="2024-10-01T00:00:00"/>
    <n v="726.62"/>
    <n v="1412"/>
    <n v="1.9432440615452369"/>
    <n v="0.51460339943342781"/>
    <x v="9"/>
  </r>
  <r>
    <x v="4"/>
    <d v="2024-11-01T00:00:00"/>
    <n v="739.4"/>
    <n v="1412"/>
    <n v="1.9096564782255885"/>
    <n v="0.52365439093484423"/>
    <x v="9"/>
  </r>
  <r>
    <x v="4"/>
    <d v="2024-12-01T00:00:00"/>
    <n v="741.9"/>
    <n v="1412"/>
    <n v="1.9032214584175766"/>
    <n v="0.52542492917847028"/>
    <x v="9"/>
  </r>
  <r>
    <x v="4"/>
    <d v="2025-01-01T00:00:00"/>
    <n v="743.69"/>
    <n v="1518"/>
    <n v="2.0411730694240879"/>
    <n v="0.48991436100131758"/>
    <x v="10"/>
  </r>
  <r>
    <x v="4"/>
    <d v="2025-02-01T00:00:00"/>
    <n v="745.88"/>
    <n v="1518"/>
    <n v="2.0351799217032229"/>
    <n v="0.49135704874835312"/>
    <x v="10"/>
  </r>
  <r>
    <x v="4"/>
    <d v="2025-03-01T00:00:00"/>
    <n v="772.83"/>
    <n v="1518"/>
    <n v="1.9642094639183261"/>
    <n v="0.50911067193675896"/>
    <x v="10"/>
  </r>
  <r>
    <x v="4"/>
    <d v="2025-04-01T00:00:00"/>
    <n v="793.72"/>
    <n v="1518"/>
    <n v="1.9125132288464446"/>
    <n v="0.52287220026350467"/>
    <x v="10"/>
  </r>
  <r>
    <x v="4"/>
    <d v="2025-05-01T00:00:00"/>
    <n v="791.39"/>
    <n v="1518"/>
    <n v="1.9181440250698139"/>
    <n v="0.52133728590250328"/>
    <x v="10"/>
  </r>
  <r>
    <x v="4"/>
    <d v="2025-06-01T00:00:00"/>
    <n v="789.86"/>
    <n v="1518"/>
    <n v="1.9218595700503887"/>
    <n v="0.52032938076416335"/>
    <x v="10"/>
  </r>
  <r>
    <x v="5"/>
    <d v="2015-01-01T00:00:00"/>
    <n v="360.64"/>
    <n v="788"/>
    <n v="2.1850044365572319"/>
    <n v="0.45766497461928934"/>
    <x v="0"/>
  </r>
  <r>
    <x v="5"/>
    <d v="2015-02-01T00:00:00"/>
    <n v="359.76"/>
    <n v="788"/>
    <n v="2.1903491216366469"/>
    <n v="0.4565482233502538"/>
    <x v="0"/>
  </r>
  <r>
    <x v="5"/>
    <d v="2015-03-01T00:00:00"/>
    <n v="358.14"/>
    <n v="788"/>
    <n v="2.2002568827832691"/>
    <n v="0.45449238578680201"/>
    <x v="0"/>
  </r>
  <r>
    <x v="5"/>
    <d v="2015-04-01T00:00:00"/>
    <n v="368.32"/>
    <n v="788"/>
    <n v="2.1394439617723719"/>
    <n v="0.46741116751269035"/>
    <x v="0"/>
  </r>
  <r>
    <x v="5"/>
    <d v="2015-05-01T00:00:00"/>
    <n v="394.29"/>
    <n v="788"/>
    <n v="1.9985290014963604"/>
    <n v="0.50036802030456851"/>
    <x v="0"/>
  </r>
  <r>
    <x v="5"/>
    <d v="2015-06-01T00:00:00"/>
    <n v="386.1"/>
    <n v="788"/>
    <n v="2.040922040922041"/>
    <n v="0.48997461928934011"/>
    <x v="0"/>
  </r>
  <r>
    <x v="5"/>
    <d v="2015-07-01T00:00:00"/>
    <n v="376.69"/>
    <n v="788"/>
    <n v="2.0919058111444424"/>
    <n v="0.47803299492385787"/>
    <x v="0"/>
  </r>
  <r>
    <x v="5"/>
    <d v="2015-08-01T00:00:00"/>
    <n v="372.79"/>
    <n v="788"/>
    <n v="2.11379060597119"/>
    <n v="0.47308375634517769"/>
    <x v="0"/>
  </r>
  <r>
    <x v="5"/>
    <d v="2015-09-01T00:00:00"/>
    <n v="383.1"/>
    <n v="788"/>
    <n v="2.0569042025580786"/>
    <n v="0.48616751269035535"/>
    <x v="0"/>
  </r>
  <r>
    <x v="5"/>
    <d v="2015-10-01T00:00:00"/>
    <n v="378.45"/>
    <n v="788"/>
    <n v="2.082177302153521"/>
    <n v="0.4802664974619289"/>
    <x v="0"/>
  </r>
  <r>
    <x v="5"/>
    <d v="2015-11-01T00:00:00"/>
    <n v="391.85"/>
    <n v="788"/>
    <n v="2.0109735868316956"/>
    <n v="0.49727157360406093"/>
    <x v="0"/>
  </r>
  <r>
    <x v="5"/>
    <d v="2015-12-01T00:00:00"/>
    <n v="414.12"/>
    <n v="788"/>
    <n v="1.9028300975562638"/>
    <n v="0.52553299492385785"/>
    <x v="0"/>
  </r>
  <r>
    <x v="5"/>
    <d v="2016-01-01T00:00:00"/>
    <n v="437.24"/>
    <n v="880"/>
    <n v="2.0126246455036134"/>
    <n v="0.4968636363636364"/>
    <x v="1"/>
  </r>
  <r>
    <x v="5"/>
    <d v="2016-02-01T00:00:00"/>
    <n v="430.69"/>
    <n v="880"/>
    <n v="2.0432329517750585"/>
    <n v="0.48942045454545452"/>
    <x v="1"/>
  </r>
  <r>
    <x v="5"/>
    <d v="2016-03-01T00:00:00"/>
    <n v="441.06"/>
    <n v="880"/>
    <n v="1.9951933977236658"/>
    <n v="0.5012045454545454"/>
    <x v="1"/>
  </r>
  <r>
    <x v="5"/>
    <d v="2016-04-01T00:00:00"/>
    <n v="438.56"/>
    <n v="880"/>
    <n v="2.0065669463699378"/>
    <n v="0.49836363636363634"/>
    <x v="1"/>
  </r>
  <r>
    <x v="5"/>
    <d v="2016-05-01T00:00:00"/>
    <n v="420.63"/>
    <n v="880"/>
    <n v="2.0920999453201152"/>
    <n v="0.47798863636363637"/>
    <x v="1"/>
  </r>
  <r>
    <x v="5"/>
    <d v="2016-06-01T00:00:00"/>
    <n v="463.24"/>
    <n v="880"/>
    <n v="1.8996632415162766"/>
    <n v="0.52640909090909094"/>
    <x v="1"/>
  </r>
  <r>
    <x v="5"/>
    <d v="2016-07-01T00:00:00"/>
    <n v="443.11"/>
    <n v="880"/>
    <n v="1.9859628534675362"/>
    <n v="0.50353409090909096"/>
    <x v="1"/>
  </r>
  <r>
    <x v="5"/>
    <d v="2016-08-01T00:00:00"/>
    <n v="457.11"/>
    <n v="880"/>
    <n v="1.9251383693202948"/>
    <n v="0.51944318181818183"/>
    <x v="1"/>
  </r>
  <r>
    <x v="5"/>
    <d v="2016-09-01T00:00:00"/>
    <n v="449.05"/>
    <n v="880"/>
    <n v="1.9596926845562854"/>
    <n v="0.51028409090909088"/>
    <x v="1"/>
  </r>
  <r>
    <x v="5"/>
    <d v="2016-10-01T00:00:00"/>
    <n v="475.32"/>
    <n v="880"/>
    <n v="1.851384330556257"/>
    <n v="0.54013636363636364"/>
    <x v="1"/>
  </r>
  <r>
    <x v="5"/>
    <d v="2016-11-01T00:00:00"/>
    <n v="466.25"/>
    <n v="880"/>
    <n v="1.8873994638069704"/>
    <n v="0.52982954545454541"/>
    <x v="1"/>
  </r>
  <r>
    <x v="5"/>
    <d v="2016-12-01T00:00:00"/>
    <n v="453.8"/>
    <n v="880"/>
    <n v="1.9391802556192155"/>
    <n v="0.51568181818181824"/>
    <x v="1"/>
  </r>
  <r>
    <x v="5"/>
    <d v="2017-01-01T00:00:00"/>
    <n v="441.92"/>
    <n v="937"/>
    <n v="2.1202932657494569"/>
    <n v="0.47163287086446104"/>
    <x v="2"/>
  </r>
  <r>
    <x v="5"/>
    <d v="2017-02-01T00:00:00"/>
    <n v="434.14"/>
    <n v="937"/>
    <n v="2.1582899525498687"/>
    <n v="0.46332977588046959"/>
    <x v="2"/>
  </r>
  <r>
    <x v="5"/>
    <d v="2017-03-01T00:00:00"/>
    <n v="433.7"/>
    <n v="937"/>
    <n v="2.1604795941895318"/>
    <n v="0.4628601921024546"/>
    <x v="2"/>
  </r>
  <r>
    <x v="5"/>
    <d v="2017-04-01T00:00:00"/>
    <n v="453.54"/>
    <n v="937"/>
    <n v="2.0659699254751511"/>
    <n v="0.48403415154749202"/>
    <x v="2"/>
  </r>
  <r>
    <x v="5"/>
    <d v="2017-05-01T00:00:00"/>
    <n v="446.52"/>
    <n v="937"/>
    <n v="2.0984502373913823"/>
    <n v="0.47654215581643539"/>
    <x v="2"/>
  </r>
  <r>
    <x v="5"/>
    <d v="2017-06-01T00:00:00"/>
    <n v="432.4"/>
    <n v="937"/>
    <n v="2.1669750231267346"/>
    <n v="0.46147278548559229"/>
    <x v="2"/>
  </r>
  <r>
    <x v="5"/>
    <d v="2017-07-01T00:00:00"/>
    <n v="439.87"/>
    <n v="937"/>
    <n v="2.1301748243799303"/>
    <n v="0.4694450373532551"/>
    <x v="2"/>
  </r>
  <r>
    <x v="5"/>
    <d v="2017-08-01T00:00:00"/>
    <n v="426.3"/>
    <n v="937"/>
    <n v="2.1979826413323948"/>
    <n v="0.45496264674493064"/>
    <x v="2"/>
  </r>
  <r>
    <x v="5"/>
    <d v="2017-09-01T00:00:00"/>
    <n v="419.17"/>
    <n v="937"/>
    <n v="2.2353698976548895"/>
    <n v="0.44735325506937035"/>
    <x v="2"/>
  </r>
  <r>
    <x v="5"/>
    <d v="2017-10-01T00:00:00"/>
    <n v="416.41"/>
    <n v="937"/>
    <n v="2.2501861146466222"/>
    <n v="0.44440768409818571"/>
    <x v="2"/>
  </r>
  <r>
    <x v="5"/>
    <d v="2017-11-01T00:00:00"/>
    <n v="415"/>
    <n v="937"/>
    <n v="2.257831325301205"/>
    <n v="0.44290288153681961"/>
    <x v="2"/>
  </r>
  <r>
    <x v="5"/>
    <d v="2017-12-01T00:00:00"/>
    <n v="418.61"/>
    <n v="937"/>
    <n v="2.2383602876185469"/>
    <n v="0.44675560298826045"/>
    <x v="2"/>
  </r>
  <r>
    <x v="5"/>
    <d v="2018-01-01T00:00:00"/>
    <n v="430.52"/>
    <n v="954"/>
    <n v="2.2159249279940538"/>
    <n v="0.4512788259958071"/>
    <x v="3"/>
  </r>
  <r>
    <x v="5"/>
    <d v="2018-02-01T00:00:00"/>
    <n v="425.05"/>
    <n v="954"/>
    <n v="2.2444418303728972"/>
    <n v="0.44554507337526206"/>
    <x v="3"/>
  </r>
  <r>
    <x v="5"/>
    <d v="2018-03-01T00:00:00"/>
    <n v="426.79"/>
    <n v="954"/>
    <n v="2.2352913610909346"/>
    <n v="0.44736897274633125"/>
    <x v="3"/>
  </r>
  <r>
    <x v="5"/>
    <d v="2018-04-01T00:00:00"/>
    <n v="426.73"/>
    <n v="954"/>
    <n v="2.2356056522859888"/>
    <n v="0.44730607966457026"/>
    <x v="3"/>
  </r>
  <r>
    <x v="5"/>
    <d v="2018-05-01T00:00:00"/>
    <n v="441.62"/>
    <n v="954"/>
    <n v="2.1602282505321315"/>
    <n v="0.46291404612159331"/>
    <x v="3"/>
  </r>
  <r>
    <x v="5"/>
    <d v="2018-06-01T00:00:00"/>
    <n v="425.3"/>
    <n v="954"/>
    <n v="2.2431225017634611"/>
    <n v="0.44580712788259957"/>
    <x v="3"/>
  </r>
  <r>
    <x v="5"/>
    <d v="2018-07-01T00:00:00"/>
    <n v="415.27"/>
    <n v="954"/>
    <n v="2.2973005514484552"/>
    <n v="0.43529350104821801"/>
    <x v="3"/>
  </r>
  <r>
    <x v="5"/>
    <d v="2018-08-01T00:00:00"/>
    <n v="431.3"/>
    <n v="954"/>
    <n v="2.2119174588453512"/>
    <n v="0.4520964360587002"/>
    <x v="3"/>
  </r>
  <r>
    <x v="5"/>
    <d v="2018-09-01T00:00:00"/>
    <n v="435.47"/>
    <n v="954"/>
    <n v="2.1907364456793808"/>
    <n v="0.4564675052410902"/>
    <x v="3"/>
  </r>
  <r>
    <x v="5"/>
    <d v="2018-10-01T00:00:00"/>
    <n v="450.35"/>
    <n v="954"/>
    <n v="2.1183523925835459"/>
    <n v="0.47206498951781972"/>
    <x v="3"/>
  </r>
  <r>
    <x v="5"/>
    <d v="2018-11-01T00:00:00"/>
    <n v="454.87"/>
    <n v="954"/>
    <n v="2.0973025259964384"/>
    <n v="0.47680293501048221"/>
    <x v="3"/>
  </r>
  <r>
    <x v="5"/>
    <d v="2018-12-01T00:00:00"/>
    <n v="457.82"/>
    <n v="954"/>
    <n v="2.0837883884496091"/>
    <n v="0.47989517819706501"/>
    <x v="3"/>
  </r>
  <r>
    <x v="5"/>
    <d v="2019-01-01T00:00:00"/>
    <n v="437.55"/>
    <n v="998"/>
    <n v="2.2808821848931551"/>
    <n v="0.43842685370741485"/>
    <x v="4"/>
  </r>
  <r>
    <x v="5"/>
    <d v="2019-02-01T00:00:00"/>
    <n v="441.89"/>
    <n v="998"/>
    <n v="2.258480617348209"/>
    <n v="0.4427755511022044"/>
    <x v="4"/>
  </r>
  <r>
    <x v="5"/>
    <d v="2019-03-01T00:00:00"/>
    <n v="474.07"/>
    <n v="998"/>
    <n v="2.1051743413419959"/>
    <n v="0.4750200400801603"/>
    <x v="4"/>
  </r>
  <r>
    <x v="5"/>
    <d v="2019-04-01T00:00:00"/>
    <n v="482.3"/>
    <n v="998"/>
    <n v="2.0692515032137675"/>
    <n v="0.48326653306613226"/>
    <x v="4"/>
  </r>
  <r>
    <x v="5"/>
    <d v="2019-05-01T00:00:00"/>
    <n v="487.93"/>
    <n v="998"/>
    <n v="2.0453753612198469"/>
    <n v="0.48890781563126251"/>
    <x v="4"/>
  </r>
  <r>
    <x v="5"/>
    <d v="2019-06-01T00:00:00"/>
    <n v="494.96"/>
    <n v="998"/>
    <n v="2.0163245514789074"/>
    <n v="0.49595190380761522"/>
    <x v="4"/>
  </r>
  <r>
    <x v="5"/>
    <d v="2019-07-01T00:00:00"/>
    <n v="483.2"/>
    <n v="998"/>
    <n v="2.0653973509933774"/>
    <n v="0.48416833667334669"/>
    <x v="4"/>
  </r>
  <r>
    <x v="5"/>
    <d v="2019-08-01T00:00:00"/>
    <n v="464.24"/>
    <n v="998"/>
    <n v="2.1497501292434946"/>
    <n v="0.46517034068136276"/>
    <x v="4"/>
  </r>
  <r>
    <x v="5"/>
    <d v="2019-09-01T00:00:00"/>
    <n v="454.94"/>
    <n v="998"/>
    <n v="2.1936958719831186"/>
    <n v="0.45585170340681364"/>
    <x v="4"/>
  </r>
  <r>
    <x v="5"/>
    <d v="2019-10-01T00:00:00"/>
    <n v="458.28"/>
    <n v="998"/>
    <n v="2.1777079514707167"/>
    <n v="0.45919839679358715"/>
    <x v="4"/>
  </r>
  <r>
    <x v="5"/>
    <d v="2019-11-01T00:00:00"/>
    <n v="478.68"/>
    <n v="998"/>
    <n v="2.0849001420573243"/>
    <n v="0.47963927855711425"/>
    <x v="4"/>
  </r>
  <r>
    <x v="5"/>
    <d v="2019-12-01T00:00:00"/>
    <n v="511.7"/>
    <n v="998"/>
    <n v="1.9503615399648231"/>
    <n v="0.51272545090180355"/>
    <x v="4"/>
  </r>
  <r>
    <x v="5"/>
    <d v="2020-01-01T00:00:00"/>
    <n v="489.13"/>
    <n v="1039"/>
    <n v="2.124179665937481"/>
    <n v="0.47076997112608276"/>
    <x v="5"/>
  </r>
  <r>
    <x v="5"/>
    <d v="2020-02-01T00:00:00"/>
    <n v="493.15"/>
    <n v="1045"/>
    <n v="2.1190307208760015"/>
    <n v="0.47191387559808612"/>
    <x v="5"/>
  </r>
  <r>
    <x v="5"/>
    <d v="2020-03-01T00:00:00"/>
    <n v="517.13"/>
    <n v="1045"/>
    <n v="2.0207684721443351"/>
    <n v="0.49486124401913872"/>
    <x v="5"/>
  </r>
  <r>
    <x v="5"/>
    <d v="2020-04-01T00:00:00"/>
    <n v="523.79999999999995"/>
    <n v="1045"/>
    <n v="1.995036273386789"/>
    <n v="0.50124401913875594"/>
    <x v="5"/>
  </r>
  <r>
    <x v="5"/>
    <d v="2020-05-01T00:00:00"/>
    <n v="524.07000000000005"/>
    <n v="1045"/>
    <n v="1.9940084339878259"/>
    <n v="0.50150239234449767"/>
    <x v="5"/>
  </r>
  <r>
    <x v="5"/>
    <d v="2020-06-01T00:00:00"/>
    <n v="516.97"/>
    <n v="1045"/>
    <n v="2.0213938913283167"/>
    <n v="0.49470813397129187"/>
    <x v="5"/>
  </r>
  <r>
    <x v="5"/>
    <d v="2020-07-01T00:00:00"/>
    <n v="522.03"/>
    <n v="1045"/>
    <n v="2.0018006627971574"/>
    <n v="0.49955023923444974"/>
    <x v="5"/>
  </r>
  <r>
    <x v="5"/>
    <d v="2020-08-01T00:00:00"/>
    <n v="530.41999999999996"/>
    <n v="1045"/>
    <n v="1.9701368726669433"/>
    <n v="0.50757894736842102"/>
    <x v="5"/>
  </r>
  <r>
    <x v="5"/>
    <d v="2020-09-01T00:00:00"/>
    <n v="582.4"/>
    <n v="1045"/>
    <n v="1.7942994505494507"/>
    <n v="0.55732057416267944"/>
    <x v="5"/>
  </r>
  <r>
    <x v="5"/>
    <d v="2020-10-01T00:00:00"/>
    <n v="584.76"/>
    <n v="1045"/>
    <n v="1.7870579382994733"/>
    <n v="0.55957894736842106"/>
    <x v="5"/>
  </r>
  <r>
    <x v="5"/>
    <d v="2020-11-01T00:00:00"/>
    <n v="616.98"/>
    <n v="1045"/>
    <n v="1.6937339946189502"/>
    <n v="0.5904114832535885"/>
    <x v="5"/>
  </r>
  <r>
    <x v="5"/>
    <d v="2020-12-01T00:00:00"/>
    <n v="615.57000000000005"/>
    <n v="1045"/>
    <n v="1.697613593904836"/>
    <n v="0.58906220095693784"/>
    <x v="5"/>
  </r>
  <r>
    <x v="5"/>
    <d v="2021-01-01T00:00:00"/>
    <n v="651.37"/>
    <n v="1100"/>
    <n v="1.6887483304419915"/>
    <n v="0.59215454545454549"/>
    <x v="6"/>
  </r>
  <r>
    <x v="5"/>
    <d v="2021-02-01T00:00:00"/>
    <n v="639.80999999999995"/>
    <n v="1100"/>
    <n v="1.7192604054328631"/>
    <n v="0.58164545454545447"/>
    <x v="6"/>
  </r>
  <r>
    <x v="5"/>
    <d v="2021-03-01T00:00:00"/>
    <n v="632.75"/>
    <n v="1100"/>
    <n v="1.7384433030422757"/>
    <n v="0.5752272727272727"/>
    <x v="6"/>
  </r>
  <r>
    <x v="5"/>
    <d v="2021-04-01T00:00:00"/>
    <n v="634.53"/>
    <n v="1100"/>
    <n v="1.7335665768363986"/>
    <n v="0.57684545454545455"/>
    <x v="6"/>
  </r>
  <r>
    <x v="5"/>
    <d v="2021-05-01T00:00:00"/>
    <n v="636.37"/>
    <n v="1100"/>
    <n v="1.7285541430299982"/>
    <n v="0.57851818181818182"/>
    <x v="6"/>
  </r>
  <r>
    <x v="5"/>
    <d v="2021-06-01T00:00:00"/>
    <n v="645.38"/>
    <n v="1100"/>
    <n v="1.7044222008739038"/>
    <n v="0.58670909090909096"/>
    <x v="6"/>
  </r>
  <r>
    <x v="5"/>
    <d v="2021-07-01T00:00:00"/>
    <n v="654.42999999999995"/>
    <n v="1100"/>
    <n v="1.6808520391791331"/>
    <n v="0.5949363636363636"/>
    <x v="6"/>
  </r>
  <r>
    <x v="5"/>
    <d v="2021-08-01T00:00:00"/>
    <n v="659"/>
    <n v="1100"/>
    <n v="1.6691957511380879"/>
    <n v="0.59909090909090912"/>
    <x v="6"/>
  </r>
  <r>
    <x v="5"/>
    <d v="2021-09-01T00:00:00"/>
    <n v="662.85"/>
    <n v="1100"/>
    <n v="1.6595006411707023"/>
    <n v="0.60259090909090907"/>
    <x v="6"/>
  </r>
  <r>
    <x v="5"/>
    <d v="2021-10-01T00:00:00"/>
    <n v="700.69"/>
    <n v="1100"/>
    <n v="1.5698811171844895"/>
    <n v="0.63699090909090916"/>
    <x v="6"/>
  </r>
  <r>
    <x v="5"/>
    <d v="2021-11-01T00:00:00"/>
    <n v="710.53"/>
    <n v="1100"/>
    <n v="1.5481401207549295"/>
    <n v="0.64593636363636364"/>
    <x v="6"/>
  </r>
  <r>
    <x v="5"/>
    <d v="2021-12-01T00:00:00"/>
    <n v="689.56"/>
    <n v="1100"/>
    <n v="1.5952201403793724"/>
    <n v="0.62687272727272725"/>
    <x v="6"/>
  </r>
  <r>
    <x v="5"/>
    <d v="2022-01-01T00:00:00"/>
    <n v="695.59"/>
    <n v="1212"/>
    <n v="1.7424057275118963"/>
    <n v="0.57391914191419147"/>
    <x v="7"/>
  </r>
  <r>
    <x v="5"/>
    <d v="2022-02-01T00:00:00"/>
    <n v="707.56"/>
    <n v="1212"/>
    <n v="1.7129289388885749"/>
    <n v="0.5837953795379538"/>
    <x v="7"/>
  </r>
  <r>
    <x v="5"/>
    <d v="2022-03-01T00:00:00"/>
    <n v="745.47"/>
    <n v="1212"/>
    <n v="1.6258199525131796"/>
    <n v="0.61507425742574262"/>
    <x v="7"/>
  </r>
  <r>
    <x v="5"/>
    <d v="2022-04-01T00:00:00"/>
    <n v="788"/>
    <n v="1212"/>
    <n v="1.5380710659898478"/>
    <n v="0.65016501650165015"/>
    <x v="7"/>
  </r>
  <r>
    <x v="5"/>
    <d v="2022-05-01T00:00:00"/>
    <n v="772.07"/>
    <n v="1212"/>
    <n v="1.569805846620125"/>
    <n v="0.63702145214521455"/>
    <x v="7"/>
  </r>
  <r>
    <x v="5"/>
    <d v="2022-06-01T00:00:00"/>
    <n v="760.41"/>
    <n v="1212"/>
    <n v="1.5938769874146843"/>
    <n v="0.62740099009900985"/>
    <x v="7"/>
  </r>
  <r>
    <x v="5"/>
    <d v="2022-07-01T00:00:00"/>
    <n v="753.73"/>
    <n v="1212"/>
    <n v="1.6080028657476815"/>
    <n v="0.62188943894389437"/>
    <x v="7"/>
  </r>
  <r>
    <x v="5"/>
    <d v="2022-08-01T00:00:00"/>
    <n v="746.21"/>
    <n v="1212"/>
    <n v="1.6242076627222899"/>
    <n v="0.6156848184818482"/>
    <x v="7"/>
  </r>
  <r>
    <x v="5"/>
    <d v="2022-09-01T00:00:00"/>
    <n v="746.55"/>
    <n v="1212"/>
    <n v="1.6234679525818767"/>
    <n v="0.6159653465346534"/>
    <x v="7"/>
  </r>
  <r>
    <x v="5"/>
    <d v="2022-10-01T00:00:00"/>
    <n v="753.82"/>
    <n v="1212"/>
    <n v="1.6078108832347244"/>
    <n v="0.621963696369637"/>
    <x v="7"/>
  </r>
  <r>
    <x v="5"/>
    <d v="2022-11-01T00:00:00"/>
    <n v="776.14"/>
    <n v="1212"/>
    <n v="1.561573942845363"/>
    <n v="0.64037953795379532"/>
    <x v="7"/>
  </r>
  <r>
    <x v="5"/>
    <d v="2022-12-01T00:00:00"/>
    <n v="769.19"/>
    <n v="1212"/>
    <n v="1.575683511226095"/>
    <n v="0.63464521452145217"/>
    <x v="7"/>
  </r>
  <r>
    <x v="5"/>
    <d v="2023-01-01T00:00:00"/>
    <n v="760.65"/>
    <n v="1302"/>
    <n v="1.7116939459672649"/>
    <n v="0.58421658986175118"/>
    <x v="8"/>
  </r>
  <r>
    <x v="5"/>
    <d v="2023-02-01T00:00:00"/>
    <n v="746.95"/>
    <n v="1302"/>
    <n v="1.7430885601445878"/>
    <n v="0.57369431643625191"/>
    <x v="8"/>
  </r>
  <r>
    <x v="5"/>
    <d v="2023-03-01T00:00:00"/>
    <n v="742.23"/>
    <n v="1302"/>
    <n v="1.7541732347116124"/>
    <n v="0.57006912442396318"/>
    <x v="8"/>
  </r>
  <r>
    <x v="5"/>
    <d v="2023-04-01T00:00:00"/>
    <n v="769.35"/>
    <n v="1302"/>
    <n v="1.6923376876584129"/>
    <n v="0.59089861751152073"/>
    <x v="8"/>
  </r>
  <r>
    <x v="5"/>
    <d v="2023-05-01T00:00:00"/>
    <n v="765.13"/>
    <n v="1320"/>
    <n v="1.7251970253420987"/>
    <n v="0.57964393939393943"/>
    <x v="8"/>
  </r>
  <r>
    <x v="5"/>
    <d v="2023-06-01T00:00:00"/>
    <n v="771.54"/>
    <n v="1320"/>
    <n v="1.7108639863130881"/>
    <n v="0.58450000000000002"/>
    <x v="8"/>
  </r>
  <r>
    <x v="5"/>
    <d v="2023-07-01T00:00:00"/>
    <n v="746.66"/>
    <n v="1320"/>
    <n v="1.7678729274368521"/>
    <n v="0.56565151515151513"/>
    <x v="8"/>
  </r>
  <r>
    <x v="5"/>
    <d v="2023-08-01T00:00:00"/>
    <n v="743.94"/>
    <n v="1320"/>
    <n v="1.774336640051617"/>
    <n v="0.56359090909090914"/>
    <x v="8"/>
  </r>
  <r>
    <x v="5"/>
    <d v="2023-09-01T00:00:00"/>
    <n v="747.64"/>
    <n v="1320"/>
    <n v="1.7655556150018725"/>
    <n v="0.56639393939393934"/>
    <x v="8"/>
  </r>
  <r>
    <x v="5"/>
    <d v="2023-10-01T00:00:00"/>
    <n v="738.77"/>
    <n v="1320"/>
    <n v="1.7867536581073948"/>
    <n v="0.55967424242424246"/>
    <x v="8"/>
  </r>
  <r>
    <x v="5"/>
    <d v="2023-11-01T00:00:00"/>
    <n v="747.59"/>
    <n v="1320"/>
    <n v="1.7656736981500554"/>
    <n v="0.56635606060606059"/>
    <x v="8"/>
  </r>
  <r>
    <x v="5"/>
    <d v="2023-12-01T00:00:00"/>
    <n v="758.5"/>
    <n v="1320"/>
    <n v="1.7402768622280818"/>
    <n v="0.57462121212121209"/>
    <x v="8"/>
  </r>
  <r>
    <x v="5"/>
    <d v="2024-01-01T00:00:00"/>
    <n v="800.31"/>
    <n v="1412"/>
    <n v="1.7643163274231237"/>
    <n v="0.56679178470254954"/>
    <x v="9"/>
  </r>
  <r>
    <x v="5"/>
    <d v="2024-02-01T00:00:00"/>
    <n v="783.36"/>
    <n v="1412"/>
    <n v="1.8024918300653594"/>
    <n v="0.55478753541076486"/>
    <x v="9"/>
  </r>
  <r>
    <x v="5"/>
    <d v="2024-03-01T00:00:00"/>
    <n v="791.21"/>
    <n v="1412"/>
    <n v="1.784608384626079"/>
    <n v="0.56034702549575077"/>
    <x v="9"/>
  </r>
  <r>
    <x v="5"/>
    <d v="2024-04-01T00:00:00"/>
    <n v="781.53"/>
    <n v="1412"/>
    <n v="1.8067124742492291"/>
    <n v="0.55349150141643055"/>
    <x v="9"/>
  </r>
  <r>
    <x v="5"/>
    <d v="2024-05-01T00:00:00"/>
    <n v="801.03"/>
    <n v="1412"/>
    <n v="1.7627304845012048"/>
    <n v="0.56730169971671385"/>
    <x v="9"/>
  </r>
  <r>
    <x v="5"/>
    <d v="2024-06-01T00:00:00"/>
    <n v="816.06"/>
    <n v="1412"/>
    <n v="1.7302649315001348"/>
    <n v="0.5779461756373937"/>
    <x v="9"/>
  </r>
  <r>
    <x v="5"/>
    <d v="2024-07-01T00:00:00"/>
    <n v="782.73"/>
    <n v="1412"/>
    <n v="1.803942611117499"/>
    <n v="0.55434135977337107"/>
    <x v="9"/>
  </r>
  <r>
    <x v="5"/>
    <d v="2024-08-01T00:00:00"/>
    <n v="756.31"/>
    <n v="1412"/>
    <n v="1.8669593156245456"/>
    <n v="0.53563031161473085"/>
    <x v="9"/>
  </r>
  <r>
    <x v="5"/>
    <d v="2024-09-01T00:00:00"/>
    <n v="768.33"/>
    <n v="1412"/>
    <n v="1.8377520076009006"/>
    <n v="0.54414305949008501"/>
    <x v="9"/>
  </r>
  <r>
    <x v="5"/>
    <d v="2024-10-01T00:00:00"/>
    <n v="796.94"/>
    <n v="1412"/>
    <n v="1.7717770472055612"/>
    <n v="0.5644050991501417"/>
    <x v="9"/>
  </r>
  <r>
    <x v="5"/>
    <d v="2024-11-01T00:00:00"/>
    <n v="799.62"/>
    <n v="1412"/>
    <n v="1.7658387734173733"/>
    <n v="0.56630311614730877"/>
    <x v="9"/>
  </r>
  <r>
    <x v="5"/>
    <d v="2024-12-01T00:00:00"/>
    <n v="809.46"/>
    <n v="1412"/>
    <n v="1.7443727917377017"/>
    <n v="0.57327195467422098"/>
    <x v="9"/>
  </r>
  <r>
    <x v="5"/>
    <d v="2025-01-01T00:00:00"/>
    <n v="808.75"/>
    <n v="1518"/>
    <n v="1.8769706336939722"/>
    <n v="0.53277338603425561"/>
    <x v="10"/>
  </r>
  <r>
    <x v="5"/>
    <d v="2025-02-01T00:00:00"/>
    <n v="807.71"/>
    <n v="1518"/>
    <n v="1.8793874038949623"/>
    <n v="0.53208827404479586"/>
    <x v="10"/>
  </r>
  <r>
    <x v="5"/>
    <d v="2025-03-01T00:00:00"/>
    <n v="831.92"/>
    <n v="1518"/>
    <n v="1.8246946821809791"/>
    <n v="0.54803689064558625"/>
    <x v="10"/>
  </r>
  <r>
    <x v="5"/>
    <d v="2025-04-01T00:00:00"/>
    <n v="858.2"/>
    <n v="1518"/>
    <n v="1.7688184572360754"/>
    <n v="0.56534914361001321"/>
    <x v="10"/>
  </r>
  <r>
    <x v="5"/>
    <d v="2025-05-01T00:00:00"/>
    <n v="858.93"/>
    <n v="1518"/>
    <n v="1.7673151479165941"/>
    <n v="0.56583003952569166"/>
    <x v="10"/>
  </r>
  <r>
    <x v="5"/>
    <d v="2025-06-01T00:00:00"/>
    <n v="867.83"/>
    <n v="1518"/>
    <n v="1.7491905096620306"/>
    <n v="0.57169301712779974"/>
    <x v="10"/>
  </r>
  <r>
    <x v="6"/>
    <d v="2015-01-01T00:00:00"/>
    <n v="288.99"/>
    <n v="788"/>
    <n v="2.7267379494100141"/>
    <n v="0.36673857868020304"/>
    <x v="0"/>
  </r>
  <r>
    <x v="6"/>
    <d v="2015-02-01T00:00:00"/>
    <n v="292.23"/>
    <n v="788"/>
    <n v="2.696506176641686"/>
    <n v="0.37085025380710662"/>
    <x v="0"/>
  </r>
  <r>
    <x v="6"/>
    <d v="2015-03-01T00:00:00"/>
    <n v="304.58999999999997"/>
    <n v="788"/>
    <n v="2.5870842772251224"/>
    <n v="0.38653553299492383"/>
    <x v="0"/>
  </r>
  <r>
    <x v="6"/>
    <d v="2015-04-01T00:00:00"/>
    <n v="316.2"/>
    <n v="788"/>
    <n v="2.4920936116382038"/>
    <n v="0.40126903553299492"/>
    <x v="0"/>
  </r>
  <r>
    <x v="6"/>
    <d v="2015-05-01T00:00:00"/>
    <n v="344.3"/>
    <n v="788"/>
    <n v="2.2887017136218413"/>
    <n v="0.43692893401015231"/>
    <x v="0"/>
  </r>
  <r>
    <x v="6"/>
    <d v="2015-06-01T00:00:00"/>
    <n v="325.39999999999998"/>
    <n v="788"/>
    <n v="2.4216349108789186"/>
    <n v="0.41294416243654819"/>
    <x v="0"/>
  </r>
  <r>
    <x v="6"/>
    <d v="2015-07-01T00:00:00"/>
    <n v="332.82"/>
    <n v="788"/>
    <n v="2.3676461751096691"/>
    <n v="0.42236040609137054"/>
    <x v="0"/>
  </r>
  <r>
    <x v="6"/>
    <d v="2015-08-01T00:00:00"/>
    <n v="317.52"/>
    <n v="788"/>
    <n v="2.4817334341143868"/>
    <n v="0.40294416243654818"/>
    <x v="0"/>
  </r>
  <r>
    <x v="6"/>
    <d v="2015-09-01T00:00:00"/>
    <n v="305.2"/>
    <n v="788"/>
    <n v="2.5819134993446919"/>
    <n v="0.38730964467005075"/>
    <x v="0"/>
  </r>
  <r>
    <x v="6"/>
    <d v="2015-10-01T00:00:00"/>
    <n v="306.23"/>
    <n v="788"/>
    <n v="2.5732292721157299"/>
    <n v="0.38861675126903555"/>
    <x v="0"/>
  </r>
  <r>
    <x v="6"/>
    <d v="2015-11-01T00:00:00"/>
    <n v="317.86"/>
    <n v="788"/>
    <n v="2.4790788397407661"/>
    <n v="0.40337563451776653"/>
    <x v="0"/>
  </r>
  <r>
    <x v="6"/>
    <d v="2015-12-01T00:00:00"/>
    <n v="335.59"/>
    <n v="788"/>
    <n v="2.3481033403855895"/>
    <n v="0.42587563451776644"/>
    <x v="0"/>
  </r>
  <r>
    <x v="6"/>
    <d v="2016-01-01T00:00:00"/>
    <n v="368.64"/>
    <n v="880"/>
    <n v="2.3871527777777777"/>
    <n v="0.4189090909090909"/>
    <x v="1"/>
  </r>
  <r>
    <x v="6"/>
    <d v="2016-02-01T00:00:00"/>
    <n v="387.63"/>
    <n v="880"/>
    <n v="2.2702061243969767"/>
    <n v="0.44048863636363633"/>
    <x v="1"/>
  </r>
  <r>
    <x v="6"/>
    <d v="2016-03-01T00:00:00"/>
    <n v="386.3"/>
    <n v="880"/>
    <n v="2.2780222624902926"/>
    <n v="0.43897727272727272"/>
    <x v="1"/>
  </r>
  <r>
    <x v="6"/>
    <d v="2016-04-01T00:00:00"/>
    <n v="385.14"/>
    <n v="880"/>
    <n v="2.2848834190164617"/>
    <n v="0.43765909090909089"/>
    <x v="1"/>
  </r>
  <r>
    <x v="6"/>
    <d v="2016-05-01T00:00:00"/>
    <n v="375.13"/>
    <n v="880"/>
    <n v="2.3458534374750086"/>
    <n v="0.42628409090909092"/>
    <x v="1"/>
  </r>
  <r>
    <x v="6"/>
    <d v="2016-06-01T00:00:00"/>
    <n v="386.78"/>
    <n v="880"/>
    <n v="2.2751952014064845"/>
    <n v="0.43952272727272723"/>
    <x v="1"/>
  </r>
  <r>
    <x v="6"/>
    <d v="2016-07-01T00:00:00"/>
    <n v="403.38"/>
    <n v="880"/>
    <n v="2.1815657692498389"/>
    <n v="0.45838636363636365"/>
    <x v="1"/>
  </r>
  <r>
    <x v="6"/>
    <d v="2016-08-01T00:00:00"/>
    <n v="410.11"/>
    <n v="880"/>
    <n v="2.1457657701592256"/>
    <n v="0.46603409090909093"/>
    <x v="1"/>
  </r>
  <r>
    <x v="6"/>
    <d v="2016-09-01T00:00:00"/>
    <n v="415.94"/>
    <n v="880"/>
    <n v="2.115689762946579"/>
    <n v="0.47265909090909092"/>
    <x v="1"/>
  </r>
  <r>
    <x v="6"/>
    <d v="2016-10-01T00:00:00"/>
    <n v="415.41"/>
    <n v="880"/>
    <n v="2.1183890614092102"/>
    <n v="0.47205681818181822"/>
    <x v="1"/>
  </r>
  <r>
    <x v="6"/>
    <d v="2016-11-01T00:00:00"/>
    <n v="406.52"/>
    <n v="880"/>
    <n v="2.1647151431663878"/>
    <n v="0.46195454545454545"/>
    <x v="1"/>
  </r>
  <r>
    <x v="6"/>
    <d v="2016-12-01T00:00:00"/>
    <n v="394.19"/>
    <n v="880"/>
    <n v="2.2324259874679724"/>
    <n v="0.44794318181818182"/>
    <x v="1"/>
  </r>
  <r>
    <x v="6"/>
    <d v="2017-01-01T00:00:00"/>
    <n v="412.48"/>
    <n v="937"/>
    <n v="2.271625290923196"/>
    <n v="0.44021344717182498"/>
    <x v="2"/>
  </r>
  <r>
    <x v="6"/>
    <d v="2017-02-01T00:00:00"/>
    <n v="401.91"/>
    <n v="937"/>
    <n v="2.3313677191411011"/>
    <n v="0.42893276414087517"/>
    <x v="2"/>
  </r>
  <r>
    <x v="6"/>
    <d v="2017-03-01T00:00:00"/>
    <n v="408.83"/>
    <n v="937"/>
    <n v="2.2919061712692317"/>
    <n v="0.43631803628601917"/>
    <x v="2"/>
  </r>
  <r>
    <x v="6"/>
    <d v="2017-04-01T00:00:00"/>
    <n v="423.08"/>
    <n v="937"/>
    <n v="2.2147111657369765"/>
    <n v="0.45152614727854856"/>
    <x v="2"/>
  </r>
  <r>
    <x v="6"/>
    <d v="2017-05-01T00:00:00"/>
    <n v="404.5"/>
    <n v="937"/>
    <n v="2.3164400494437576"/>
    <n v="0.43169690501600855"/>
    <x v="2"/>
  </r>
  <r>
    <x v="6"/>
    <d v="2017-06-01T00:00:00"/>
    <n v="408.49"/>
    <n v="937"/>
    <n v="2.2938138020514578"/>
    <n v="0.43595517609391676"/>
    <x v="2"/>
  </r>
  <r>
    <x v="6"/>
    <d v="2017-07-01T00:00:00"/>
    <n v="400.67"/>
    <n v="937"/>
    <n v="2.3385828736865748"/>
    <n v="0.42760939167556034"/>
    <x v="2"/>
  </r>
  <r>
    <x v="6"/>
    <d v="2017-08-01T00:00:00"/>
    <n v="389.35"/>
    <n v="937"/>
    <n v="2.406575060999101"/>
    <n v="0.41552828175026685"/>
    <x v="2"/>
  </r>
  <r>
    <x v="6"/>
    <d v="2017-09-01T00:00:00"/>
    <n v="370.46"/>
    <n v="937"/>
    <n v="2.5292879123252177"/>
    <n v="0.39536819637139808"/>
    <x v="2"/>
  </r>
  <r>
    <x v="6"/>
    <d v="2017-10-01T00:00:00"/>
    <n v="367.61"/>
    <n v="937"/>
    <n v="2.5488969288104242"/>
    <n v="0.39232657417289224"/>
    <x v="2"/>
  </r>
  <r>
    <x v="6"/>
    <d v="2017-11-01T00:00:00"/>
    <n v="363.92"/>
    <n v="937"/>
    <n v="2.5747417014728509"/>
    <n v="0.38838847385272146"/>
    <x v="2"/>
  </r>
  <r>
    <x v="6"/>
    <d v="2017-12-01T00:00:00"/>
    <n v="367.45"/>
    <n v="937"/>
    <n v="2.5500068036467547"/>
    <n v="0.39215581643543224"/>
    <x v="2"/>
  </r>
  <r>
    <x v="6"/>
    <d v="2018-01-01T00:00:00"/>
    <n v="387.61"/>
    <n v="954"/>
    <n v="2.4612368101958153"/>
    <n v="0.40629979035639413"/>
    <x v="3"/>
  </r>
  <r>
    <x v="6"/>
    <d v="2018-02-01T00:00:00"/>
    <n v="395.47"/>
    <n v="954"/>
    <n v="2.4123195185475508"/>
    <n v="0.414538784067086"/>
    <x v="3"/>
  </r>
  <r>
    <x v="6"/>
    <d v="2018-03-01T00:00:00"/>
    <n v="389"/>
    <n v="954"/>
    <n v="2.4524421593830334"/>
    <n v="0.40775681341719078"/>
    <x v="3"/>
  </r>
  <r>
    <x v="6"/>
    <d v="2018-04-01T00:00:00"/>
    <n v="378.98"/>
    <n v="954"/>
    <n v="2.5172832339437434"/>
    <n v="0.39725366876310275"/>
    <x v="3"/>
  </r>
  <r>
    <x v="6"/>
    <d v="2018-05-01T00:00:00"/>
    <n v="390.79"/>
    <n v="954"/>
    <n v="2.4412088333887763"/>
    <n v="0.40963312368972749"/>
    <x v="3"/>
  </r>
  <r>
    <x v="6"/>
    <d v="2018-06-01T00:00:00"/>
    <n v="392.35"/>
    <n v="954"/>
    <n v="2.4315024850261246"/>
    <n v="0.41126834381551364"/>
    <x v="3"/>
  </r>
  <r>
    <x v="6"/>
    <d v="2018-07-01T00:00:00"/>
    <n v="379.26"/>
    <n v="954"/>
    <n v="2.5154247745609872"/>
    <n v="0.39754716981132077"/>
    <x v="3"/>
  </r>
  <r>
    <x v="6"/>
    <d v="2018-08-01T00:00:00"/>
    <n v="372.89"/>
    <n v="954"/>
    <n v="2.5583952372013194"/>
    <n v="0.39087002096436058"/>
    <x v="3"/>
  </r>
  <r>
    <x v="6"/>
    <d v="2018-09-01T00:00:00"/>
    <n v="367.14"/>
    <n v="954"/>
    <n v="2.5984638012747183"/>
    <n v="0.38484276729559747"/>
    <x v="3"/>
  </r>
  <r>
    <x v="6"/>
    <d v="2018-10-01T00:00:00"/>
    <n v="393.4"/>
    <n v="954"/>
    <n v="2.4250127097102188"/>
    <n v="0.41236897274633122"/>
    <x v="3"/>
  </r>
  <r>
    <x v="6"/>
    <d v="2018-11-01T00:00:00"/>
    <n v="411.66"/>
    <n v="954"/>
    <n v="2.3174464363795364"/>
    <n v="0.43150943396226416"/>
    <x v="3"/>
  </r>
  <r>
    <x v="6"/>
    <d v="2018-12-01T00:00:00"/>
    <n v="397.34"/>
    <n v="954"/>
    <n v="2.4009664267378064"/>
    <n v="0.41649895178197061"/>
    <x v="3"/>
  </r>
  <r>
    <x v="6"/>
    <d v="2019-01-01T00:00:00"/>
    <n v="403.99"/>
    <n v="998"/>
    <n v="2.4703581771826033"/>
    <n v="0.40479959919839681"/>
    <x v="4"/>
  </r>
  <r>
    <x v="6"/>
    <d v="2019-02-01T00:00:00"/>
    <n v="416.86"/>
    <n v="998"/>
    <n v="2.3940891426378159"/>
    <n v="0.41769539078156315"/>
    <x v="4"/>
  </r>
  <r>
    <x v="6"/>
    <d v="2019-03-01T00:00:00"/>
    <n v="445.12"/>
    <n v="998"/>
    <n v="2.2420920201294035"/>
    <n v="0.4460120240480962"/>
    <x v="4"/>
  </r>
  <r>
    <x v="6"/>
    <d v="2019-04-01T00:00:00"/>
    <n v="459.2"/>
    <n v="998"/>
    <n v="2.1733449477351918"/>
    <n v="0.4601202404809619"/>
    <x v="4"/>
  </r>
  <r>
    <x v="6"/>
    <d v="2019-05-01T00:00:00"/>
    <n v="444.44"/>
    <n v="998"/>
    <n v="2.2455224552245521"/>
    <n v="0.44533066132264532"/>
    <x v="4"/>
  </r>
  <r>
    <x v="6"/>
    <d v="2019-06-01T00:00:00"/>
    <n v="448.73"/>
    <n v="998"/>
    <n v="2.2240545539634078"/>
    <n v="0.44962925851703411"/>
    <x v="4"/>
  </r>
  <r>
    <x v="6"/>
    <d v="2019-07-01T00:00:00"/>
    <n v="432.96"/>
    <n v="998"/>
    <n v="2.3050628233555064"/>
    <n v="0.43382765531062123"/>
    <x v="4"/>
  </r>
  <r>
    <x v="6"/>
    <d v="2019-08-01T00:00:00"/>
    <n v="402.84"/>
    <n v="998"/>
    <n v="2.4774103862575716"/>
    <n v="0.40364729458917831"/>
    <x v="4"/>
  </r>
  <r>
    <x v="6"/>
    <d v="2019-09-01T00:00:00"/>
    <n v="384.17"/>
    <n v="998"/>
    <n v="2.5978082619673581"/>
    <n v="0.38493987975951904"/>
    <x v="4"/>
  </r>
  <r>
    <x v="6"/>
    <d v="2019-10-01T00:00:00"/>
    <n v="387.18"/>
    <n v="998"/>
    <n v="2.5776124799834701"/>
    <n v="0.3879559118236473"/>
    <x v="4"/>
  </r>
  <r>
    <x v="6"/>
    <d v="2019-11-01T00:00:00"/>
    <n v="395.82"/>
    <n v="998"/>
    <n v="2.5213480875145269"/>
    <n v="0.39661322645290581"/>
    <x v="4"/>
  </r>
  <r>
    <x v="6"/>
    <d v="2019-12-01T00:00:00"/>
    <n v="433.64"/>
    <n v="998"/>
    <n v="2.301448205885066"/>
    <n v="0.43450901803607211"/>
    <x v="4"/>
  </r>
  <r>
    <x v="6"/>
    <d v="2020-01-01T00:00:00"/>
    <n v="433.39"/>
    <n v="1039"/>
    <n v="2.3973788043102058"/>
    <n v="0.4171222329162656"/>
    <x v="5"/>
  </r>
  <r>
    <x v="6"/>
    <d v="2020-02-01T00:00:00"/>
    <n v="462.99"/>
    <n v="1045"/>
    <n v="2.2570681872178664"/>
    <n v="0.44305263157894736"/>
    <x v="5"/>
  </r>
  <r>
    <x v="6"/>
    <d v="2020-03-01T00:00:00"/>
    <n v="475.11"/>
    <n v="1045"/>
    <n v="2.1994906442718527"/>
    <n v="0.45465071770334931"/>
    <x v="5"/>
  </r>
  <r>
    <x v="6"/>
    <d v="2020-04-01T00:00:00"/>
    <n v="482.46"/>
    <n v="1045"/>
    <n v="2.1659826721386231"/>
    <n v="0.46168421052631575"/>
    <x v="5"/>
  </r>
  <r>
    <x v="6"/>
    <d v="2020-05-01T00:00:00"/>
    <n v="455.18"/>
    <n v="1045"/>
    <n v="2.2957950700821654"/>
    <n v="0.43557894736842107"/>
    <x v="5"/>
  </r>
  <r>
    <x v="6"/>
    <d v="2020-06-01T00:00:00"/>
    <n v="464.31"/>
    <n v="1045"/>
    <n v="2.2506515043828474"/>
    <n v="0.44431578947368422"/>
    <x v="5"/>
  </r>
  <r>
    <x v="6"/>
    <d v="2020-07-01T00:00:00"/>
    <n v="454.74"/>
    <n v="1045"/>
    <n v="2.2980164489598454"/>
    <n v="0.43515789473684213"/>
    <x v="5"/>
  </r>
  <r>
    <x v="6"/>
    <d v="2020-08-01T00:00:00"/>
    <n v="462.13"/>
    <n v="1045"/>
    <n v="2.2612684742388507"/>
    <n v="0.44222966507177031"/>
    <x v="5"/>
  </r>
  <r>
    <x v="6"/>
    <d v="2020-09-01T00:00:00"/>
    <n v="485.75"/>
    <n v="1045"/>
    <n v="2.1513124034997428"/>
    <n v="0.46483253588516749"/>
    <x v="5"/>
  </r>
  <r>
    <x v="6"/>
    <d v="2020-10-01T00:00:00"/>
    <n v="510.54"/>
    <n v="1045"/>
    <n v="2.0468523524111726"/>
    <n v="0.48855502392344502"/>
    <x v="5"/>
  </r>
  <r>
    <x v="6"/>
    <d v="2020-11-01T00:00:00"/>
    <n v="539.33000000000004"/>
    <n v="1045"/>
    <n v="1.9375892310830103"/>
    <n v="0.51610526315789473"/>
    <x v="5"/>
  </r>
  <r>
    <x v="6"/>
    <d v="2020-12-01T00:00:00"/>
    <n v="534.96"/>
    <n v="1045"/>
    <n v="1.9534170779123672"/>
    <n v="0.51192344497607656"/>
    <x v="5"/>
  </r>
  <r>
    <x v="6"/>
    <d v="2021-01-01T00:00:00"/>
    <n v="532.97"/>
    <n v="1100"/>
    <n v="2.0639060359870158"/>
    <n v="0.48451818181818185"/>
    <x v="6"/>
  </r>
  <r>
    <x v="6"/>
    <d v="2021-02-01T00:00:00"/>
    <n v="523.46"/>
    <n v="1100"/>
    <n v="2.1014022083826842"/>
    <n v="0.47587272727272728"/>
    <x v="6"/>
  </r>
  <r>
    <x v="6"/>
    <d v="2021-03-01T00:00:00"/>
    <n v="517.04999999999995"/>
    <n v="1100"/>
    <n v="2.127453824581762"/>
    <n v="0.47004545454545449"/>
    <x v="6"/>
  </r>
  <r>
    <x v="6"/>
    <d v="2021-04-01T00:00:00"/>
    <n v="525.26"/>
    <n v="1100"/>
    <n v="2.094200967140083"/>
    <n v="0.47750909090909088"/>
    <x v="6"/>
  </r>
  <r>
    <x v="6"/>
    <d v="2021-05-01T00:00:00"/>
    <n v="532.21"/>
    <n v="1100"/>
    <n v="2.0668533097837321"/>
    <n v="0.48382727272727277"/>
    <x v="6"/>
  </r>
  <r>
    <x v="6"/>
    <d v="2021-06-01T00:00:00"/>
    <n v="541.61"/>
    <n v="1100"/>
    <n v="2.0309817027012058"/>
    <n v="0.4923727272727273"/>
    <x v="6"/>
  </r>
  <r>
    <x v="6"/>
    <d v="2021-07-01T00:00:00"/>
    <n v="562.82000000000005"/>
    <n v="1100"/>
    <n v="1.9544436942539354"/>
    <n v="0.51165454545454547"/>
    <x v="6"/>
  </r>
  <r>
    <x v="6"/>
    <d v="2021-08-01T00:00:00"/>
    <n v="552.24"/>
    <n v="1100"/>
    <n v="1.9918875851079241"/>
    <n v="0.50203636363636361"/>
    <x v="6"/>
  </r>
  <r>
    <x v="6"/>
    <d v="2021-09-01T00:00:00"/>
    <n v="552.09"/>
    <n v="1100"/>
    <n v="1.9924287706714483"/>
    <n v="0.50190000000000001"/>
    <x v="6"/>
  </r>
  <r>
    <x v="6"/>
    <d v="2021-10-01T00:00:00"/>
    <n v="563.96"/>
    <n v="1100"/>
    <n v="1.9504929427618978"/>
    <n v="0.51269090909090909"/>
    <x v="6"/>
  </r>
  <r>
    <x v="6"/>
    <d v="2021-11-01T00:00:00"/>
    <n v="580.36"/>
    <n v="1100"/>
    <n v="1.8953752843062925"/>
    <n v="0.52759999999999996"/>
    <x v="6"/>
  </r>
  <r>
    <x v="6"/>
    <d v="2021-12-01T00:00:00"/>
    <n v="579.05999999999995"/>
    <n v="1100"/>
    <n v="1.899630435533451"/>
    <n v="0.52641818181818179"/>
    <x v="6"/>
  </r>
  <r>
    <x v="6"/>
    <d v="2022-01-01T00:00:00"/>
    <n v="607.35"/>
    <n v="1212"/>
    <n v="1.9955544578908371"/>
    <n v="0.50111386138613867"/>
    <x v="7"/>
  </r>
  <r>
    <x v="6"/>
    <d v="2022-02-01T00:00:00"/>
    <n v="609.6"/>
    <n v="1212"/>
    <n v="1.9881889763779528"/>
    <n v="0.50297029702970297"/>
    <x v="7"/>
  </r>
  <r>
    <x v="6"/>
    <d v="2022-03-01T00:00:00"/>
    <n v="635.02"/>
    <n v="1212"/>
    <n v="1.9086013038959404"/>
    <n v="0.52394389438943889"/>
    <x v="7"/>
  </r>
  <r>
    <x v="6"/>
    <d v="2022-04-01T00:00:00"/>
    <n v="647.63"/>
    <n v="1212"/>
    <n v="1.8714389389002981"/>
    <n v="0.5343481848184819"/>
    <x v="7"/>
  </r>
  <r>
    <x v="6"/>
    <d v="2022-05-01T00:00:00"/>
    <n v="628.46"/>
    <n v="1212"/>
    <n v="1.9285236928364573"/>
    <n v="0.51853135313531351"/>
    <x v="7"/>
  </r>
  <r>
    <x v="6"/>
    <d v="2022-06-01T00:00:00"/>
    <n v="657"/>
    <n v="1212"/>
    <n v="1.8447488584474885"/>
    <n v="0.54207920792079212"/>
    <x v="7"/>
  </r>
  <r>
    <x v="6"/>
    <d v="2022-07-01T00:00:00"/>
    <n v="641.46"/>
    <n v="1212"/>
    <n v="1.8894397156486764"/>
    <n v="0.52925742574257428"/>
    <x v="7"/>
  </r>
  <r>
    <x v="6"/>
    <d v="2022-08-01T00:00:00"/>
    <n v="626.98"/>
    <n v="1212"/>
    <n v="1.9330760151838973"/>
    <n v="0.51731023102310236"/>
    <x v="7"/>
  </r>
  <r>
    <x v="6"/>
    <d v="2022-09-01T00:00:00"/>
    <n v="620.87"/>
    <n v="1212"/>
    <n v="1.9520994733196966"/>
    <n v="0.5122689768976898"/>
    <x v="7"/>
  </r>
  <r>
    <x v="6"/>
    <d v="2022-10-01T00:00:00"/>
    <n v="622.57000000000005"/>
    <n v="1212"/>
    <n v="1.9467690380198208"/>
    <n v="0.51367161716171617"/>
    <x v="7"/>
  </r>
  <r>
    <x v="6"/>
    <d v="2022-11-01T00:00:00"/>
    <n v="630.66999999999996"/>
    <n v="1212"/>
    <n v="1.9217657411958713"/>
    <n v="0.52035478547854785"/>
    <x v="7"/>
  </r>
  <r>
    <x v="6"/>
    <d v="2022-12-01T00:00:00"/>
    <n v="653.99"/>
    <n v="1212"/>
    <n v="1.8532393461673726"/>
    <n v="0.53959570957095715"/>
    <x v="7"/>
  </r>
  <r>
    <x v="6"/>
    <d v="2023-01-01T00:00:00"/>
    <n v="679.81"/>
    <n v="1302"/>
    <n v="1.9152410232270782"/>
    <n v="0.52212749615975418"/>
    <x v="8"/>
  </r>
  <r>
    <x v="6"/>
    <d v="2023-02-01T00:00:00"/>
    <n v="671.32"/>
    <n v="1302"/>
    <n v="1.9394625513912886"/>
    <n v="0.51560675883256535"/>
    <x v="8"/>
  </r>
  <r>
    <x v="6"/>
    <d v="2023-03-01T00:00:00"/>
    <n v="647.91999999999996"/>
    <n v="1302"/>
    <n v="2.0095073465859983"/>
    <n v="0.49763440860215052"/>
    <x v="8"/>
  </r>
  <r>
    <x v="6"/>
    <d v="2023-04-01T00:00:00"/>
    <n v="669.79"/>
    <n v="1302"/>
    <n v="1.9438928619418028"/>
    <n v="0.514431643625192"/>
    <x v="8"/>
  </r>
  <r>
    <x v="6"/>
    <d v="2023-05-01T00:00:00"/>
    <n v="672.66"/>
    <n v="1320"/>
    <n v="1.9623583980019625"/>
    <n v="0.50959090909090909"/>
    <x v="8"/>
  </r>
  <r>
    <x v="6"/>
    <d v="2023-06-01T00:00:00"/>
    <n v="661.16"/>
    <n v="1320"/>
    <n v="1.996491015790429"/>
    <n v="0.50087878787878781"/>
    <x v="8"/>
  </r>
  <r>
    <x v="6"/>
    <d v="2023-07-01T00:00:00"/>
    <n v="661.5"/>
    <n v="1320"/>
    <n v="1.9954648526077097"/>
    <n v="0.5011363636363636"/>
    <x v="8"/>
  </r>
  <r>
    <x v="6"/>
    <d v="2023-08-01T00:00:00"/>
    <n v="642.67999999999995"/>
    <n v="1320"/>
    <n v="2.0538992966950893"/>
    <n v="0.48687878787878786"/>
    <x v="8"/>
  </r>
  <r>
    <x v="6"/>
    <d v="2023-09-01T00:00:00"/>
    <n v="640.48"/>
    <n v="1320"/>
    <n v="2.060954284286785"/>
    <n v="0.48521212121212121"/>
    <x v="8"/>
  </r>
  <r>
    <x v="6"/>
    <d v="2023-10-01T00:00:00"/>
    <n v="648.92999999999995"/>
    <n v="1320"/>
    <n v="2.0341177014469976"/>
    <n v="0.49161363636363631"/>
    <x v="8"/>
  </r>
  <r>
    <x v="6"/>
    <d v="2023-11-01T00:00:00"/>
    <n v="639.91"/>
    <n v="1320"/>
    <n v="2.0627900798549796"/>
    <n v="0.48478030303030301"/>
    <x v="8"/>
  </r>
  <r>
    <x v="6"/>
    <d v="2023-12-01T00:00:00"/>
    <n v="630.38"/>
    <n v="1320"/>
    <n v="2.0939750626606175"/>
    <n v="0.47756060606060607"/>
    <x v="8"/>
  </r>
  <r>
    <x v="6"/>
    <d v="2024-01-01T00:00:00"/>
    <n v="618.32000000000005"/>
    <n v="1412"/>
    <n v="2.2836071936861169"/>
    <n v="0.43790368271954677"/>
    <x v="9"/>
  </r>
  <r>
    <x v="6"/>
    <d v="2024-02-01T00:00:00"/>
    <n v="627.66999999999996"/>
    <n v="1412"/>
    <n v="2.2495897525769912"/>
    <n v="0.44452549575070821"/>
    <x v="9"/>
  </r>
  <r>
    <x v="6"/>
    <d v="2024-03-01T00:00:00"/>
    <n v="663.22"/>
    <n v="1412"/>
    <n v="2.1290069660142938"/>
    <n v="0.46970254957507085"/>
    <x v="9"/>
  </r>
  <r>
    <x v="6"/>
    <d v="2024-04-01T00:00:00"/>
    <n v="714.68"/>
    <n v="1412"/>
    <n v="1.9757094084065596"/>
    <n v="0.50614730878186964"/>
    <x v="9"/>
  </r>
  <r>
    <x v="6"/>
    <d v="2024-05-01T00:00:00"/>
    <n v="709.9"/>
    <n v="1412"/>
    <n v="1.9890125369770391"/>
    <n v="0.50276203966005661"/>
    <x v="9"/>
  </r>
  <r>
    <x v="6"/>
    <d v="2024-06-01T00:00:00"/>
    <n v="697.33"/>
    <n v="1412"/>
    <n v="2.0248662756514131"/>
    <n v="0.49385977337110487"/>
    <x v="9"/>
  </r>
  <r>
    <x v="6"/>
    <d v="2024-07-01T00:00:00"/>
    <n v="677.53"/>
    <n v="1412"/>
    <n v="2.0840405590896345"/>
    <n v="0.47983711048158639"/>
    <x v="9"/>
  </r>
  <r>
    <x v="6"/>
    <d v="2024-08-01T00:00:00"/>
    <n v="630.48"/>
    <n v="1412"/>
    <n v="2.2395635071691409"/>
    <n v="0.4465155807365439"/>
    <x v="9"/>
  </r>
  <r>
    <x v="6"/>
    <d v="2024-09-01T00:00:00"/>
    <n v="615.91999999999996"/>
    <n v="1412"/>
    <n v="2.2925055201974285"/>
    <n v="0.43620396600566569"/>
    <x v="9"/>
  </r>
  <r>
    <x v="6"/>
    <d v="2024-10-01T00:00:00"/>
    <n v="641.34"/>
    <n v="1412"/>
    <n v="2.201640315589235"/>
    <n v="0.45420679886685555"/>
    <x v="9"/>
  </r>
  <r>
    <x v="6"/>
    <d v="2024-11-01T00:00:00"/>
    <n v="663.95"/>
    <n v="1412"/>
    <n v="2.1266661646208296"/>
    <n v="0.47021954674220967"/>
    <x v="9"/>
  </r>
  <r>
    <x v="6"/>
    <d v="2024-12-01T00:00:00"/>
    <n v="673.77"/>
    <n v="1412"/>
    <n v="2.0956706294432821"/>
    <n v="0.4771742209631728"/>
    <x v="9"/>
  </r>
  <r>
    <x v="6"/>
    <d v="2025-01-01T00:00:00"/>
    <n v="700.44"/>
    <n v="1518"/>
    <n v="2.1672091827993829"/>
    <n v="0.4614229249011858"/>
    <x v="10"/>
  </r>
  <r>
    <x v="6"/>
    <d v="2025-02-01T00:00:00"/>
    <n v="710.66"/>
    <n v="1518"/>
    <n v="2.1360425519939215"/>
    <n v="0.46815546772068511"/>
    <x v="10"/>
  </r>
  <r>
    <x v="6"/>
    <d v="2025-03-01T00:00:00"/>
    <n v="727.46"/>
    <n v="1518"/>
    <n v="2.0867126714870921"/>
    <n v="0.47922266139657449"/>
    <x v="10"/>
  </r>
  <r>
    <x v="6"/>
    <d v="2025-04-01T00:00:00"/>
    <n v="746.52"/>
    <n v="1518"/>
    <n v="2.0334351390451695"/>
    <n v="0.49177865612648219"/>
    <x v="10"/>
  </r>
  <r>
    <x v="6"/>
    <d v="2025-05-01T00:00:00"/>
    <n v="728.49"/>
    <n v="1518"/>
    <n v="2.0837623028456123"/>
    <n v="0.47990118577075097"/>
    <x v="10"/>
  </r>
  <r>
    <x v="6"/>
    <d v="2025-06-01T00:00:00"/>
    <n v="735.11"/>
    <n v="1518"/>
    <n v="2.0649970752676472"/>
    <n v="0.48426218708827407"/>
    <x v="10"/>
  </r>
  <r>
    <x v="7"/>
    <d v="2015-01-01T00:00:00"/>
    <n v="323.73"/>
    <n v="788"/>
    <n v="2.4341272047694065"/>
    <n v="0.41082487309644672"/>
    <x v="0"/>
  </r>
  <r>
    <x v="7"/>
    <d v="2015-02-01T00:00:00"/>
    <n v="325.64"/>
    <n v="788"/>
    <n v="2.4198501412602877"/>
    <n v="0.41324873096446701"/>
    <x v="0"/>
  </r>
  <r>
    <x v="7"/>
    <d v="2015-03-01T00:00:00"/>
    <n v="323.48"/>
    <n v="788"/>
    <n v="2.4360084085569431"/>
    <n v="0.41050761421319798"/>
    <x v="0"/>
  </r>
  <r>
    <x v="7"/>
    <d v="2015-04-01T00:00:00"/>
    <n v="327.69"/>
    <n v="788"/>
    <n v="2.4047117702706826"/>
    <n v="0.41585025380710661"/>
    <x v="0"/>
  </r>
  <r>
    <x v="7"/>
    <d v="2015-05-01T00:00:00"/>
    <n v="347.03"/>
    <n v="788"/>
    <n v="2.2706970578912489"/>
    <n v="0.44039340101522839"/>
    <x v="0"/>
  </r>
  <r>
    <x v="7"/>
    <d v="2015-06-01T00:00:00"/>
    <n v="329.65"/>
    <n v="788"/>
    <n v="2.3904140755346583"/>
    <n v="0.41833756345177664"/>
    <x v="0"/>
  </r>
  <r>
    <x v="7"/>
    <d v="2015-07-01T00:00:00"/>
    <n v="327.47000000000003"/>
    <n v="788"/>
    <n v="2.4063272971569911"/>
    <n v="0.41557106598984778"/>
    <x v="0"/>
  </r>
  <r>
    <x v="7"/>
    <d v="2015-08-01T00:00:00"/>
    <n v="320.69"/>
    <n v="788"/>
    <n v="2.4572016589229473"/>
    <n v="0.40696700507614214"/>
    <x v="0"/>
  </r>
  <r>
    <x v="7"/>
    <d v="2015-09-01T00:00:00"/>
    <n v="311.2"/>
    <n v="788"/>
    <n v="2.532133676092545"/>
    <n v="0.39492385786802031"/>
    <x v="0"/>
  </r>
  <r>
    <x v="7"/>
    <d v="2015-10-01T00:00:00"/>
    <n v="310.73"/>
    <n v="788"/>
    <n v="2.5359636983876674"/>
    <n v="0.39432741116751269"/>
    <x v="0"/>
  </r>
  <r>
    <x v="7"/>
    <d v="2015-11-01T00:00:00"/>
    <n v="321.85000000000002"/>
    <n v="788"/>
    <n v="2.4483455025633059"/>
    <n v="0.40843908629441628"/>
    <x v="0"/>
  </r>
  <r>
    <x v="7"/>
    <d v="2015-12-01T00:00:00"/>
    <n v="335.87"/>
    <n v="788"/>
    <n v="2.3461458302319351"/>
    <n v="0.42623096446700509"/>
    <x v="0"/>
  </r>
  <r>
    <x v="7"/>
    <d v="2016-01-01T00:00:00"/>
    <n v="388.45"/>
    <n v="880"/>
    <n v="2.2654138241729953"/>
    <n v="0.44142045454545453"/>
    <x v="1"/>
  </r>
  <r>
    <x v="7"/>
    <d v="2016-02-01T00:00:00"/>
    <n v="371.8"/>
    <n v="880"/>
    <n v="2.3668639053254439"/>
    <n v="0.42249999999999999"/>
    <x v="1"/>
  </r>
  <r>
    <x v="7"/>
    <d v="2016-03-01T00:00:00"/>
    <n v="378.45"/>
    <n v="880"/>
    <n v="2.3252741445369272"/>
    <n v="0.43005681818181818"/>
    <x v="1"/>
  </r>
  <r>
    <x v="7"/>
    <d v="2016-04-01T00:00:00"/>
    <n v="382.16"/>
    <n v="880"/>
    <n v="2.3027004396064474"/>
    <n v="0.43427272727272731"/>
    <x v="1"/>
  </r>
  <r>
    <x v="7"/>
    <d v="2016-05-01T00:00:00"/>
    <n v="385.24"/>
    <n v="880"/>
    <n v="2.2842903125324474"/>
    <n v="0.43777272727272726"/>
    <x v="1"/>
  </r>
  <r>
    <x v="7"/>
    <d v="2016-06-01T00:00:00"/>
    <n v="421.46"/>
    <n v="880"/>
    <n v="2.0879798794666162"/>
    <n v="0.47893181818181818"/>
    <x v="1"/>
  </r>
  <r>
    <x v="7"/>
    <d v="2016-07-01T00:00:00"/>
    <n v="424.47"/>
    <n v="880"/>
    <n v="2.0731736047306053"/>
    <n v="0.48235227272727277"/>
    <x v="1"/>
  </r>
  <r>
    <x v="7"/>
    <d v="2016-08-01T00:00:00"/>
    <n v="411.12"/>
    <n v="880"/>
    <n v="2.1404942595835768"/>
    <n v="0.4671818181818182"/>
    <x v="1"/>
  </r>
  <r>
    <x v="7"/>
    <d v="2016-09-01T00:00:00"/>
    <n v="393.39"/>
    <n v="880"/>
    <n v="2.2369658608505554"/>
    <n v="0.44703409090909091"/>
    <x v="1"/>
  </r>
  <r>
    <x v="7"/>
    <d v="2016-10-01T00:00:00"/>
    <n v="389.44"/>
    <n v="880"/>
    <n v="2.2596548890714874"/>
    <n v="0.44254545454545452"/>
    <x v="1"/>
  </r>
  <r>
    <x v="7"/>
    <d v="2016-11-01T00:00:00"/>
    <n v="387.56"/>
    <n v="880"/>
    <n v="2.2706161626586852"/>
    <n v="0.44040909090909092"/>
    <x v="1"/>
  </r>
  <r>
    <x v="7"/>
    <d v="2016-12-01T00:00:00"/>
    <n v="386.84"/>
    <n v="880"/>
    <n v="2.2748423120670047"/>
    <n v="0.43959090909090909"/>
    <x v="1"/>
  </r>
  <r>
    <x v="7"/>
    <d v="2017-01-01T00:00:00"/>
    <n v="385.84"/>
    <n v="937"/>
    <n v="2.428467758656438"/>
    <n v="0.41178228388473848"/>
    <x v="2"/>
  </r>
  <r>
    <x v="7"/>
    <d v="2017-02-01T00:00:00"/>
    <n v="380.18"/>
    <n v="937"/>
    <n v="2.4646220211478771"/>
    <n v="0.40574172892209182"/>
    <x v="2"/>
  </r>
  <r>
    <x v="7"/>
    <d v="2017-03-01T00:00:00"/>
    <n v="388.31"/>
    <n v="937"/>
    <n v="2.4130205248384025"/>
    <n v="0.41441835645677694"/>
    <x v="2"/>
  </r>
  <r>
    <x v="7"/>
    <d v="2017-04-01T00:00:00"/>
    <n v="388.83"/>
    <n v="937"/>
    <n v="2.409793483013142"/>
    <n v="0.41497331910352186"/>
    <x v="2"/>
  </r>
  <r>
    <x v="7"/>
    <d v="2017-05-01T00:00:00"/>
    <n v="392.72"/>
    <n v="937"/>
    <n v="2.3859238134039518"/>
    <n v="0.41912486659551762"/>
    <x v="2"/>
  </r>
  <r>
    <x v="7"/>
    <d v="2017-06-01T00:00:00"/>
    <n v="390.1"/>
    <n v="937"/>
    <n v="2.4019482184055367"/>
    <n v="0.41632870864461047"/>
    <x v="2"/>
  </r>
  <r>
    <x v="7"/>
    <d v="2017-07-01T00:00:00"/>
    <n v="386.67"/>
    <n v="937"/>
    <n v="2.423254971939897"/>
    <n v="0.41266808964781221"/>
    <x v="2"/>
  </r>
  <r>
    <x v="7"/>
    <d v="2017-08-01T00:00:00"/>
    <n v="386.81"/>
    <n v="937"/>
    <n v="2.4223779116362039"/>
    <n v="0.41281750266808964"/>
    <x v="2"/>
  </r>
  <r>
    <x v="7"/>
    <d v="2017-09-01T00:00:00"/>
    <n v="372.99"/>
    <n v="937"/>
    <n v="2.5121316925386741"/>
    <n v="0.39806830309498398"/>
    <x v="2"/>
  </r>
  <r>
    <x v="7"/>
    <d v="2017-10-01T00:00:00"/>
    <n v="362.58"/>
    <n v="937"/>
    <n v="2.5842572673616857"/>
    <n v="0.38695837780149411"/>
    <x v="2"/>
  </r>
  <r>
    <x v="7"/>
    <d v="2017-11-01T00:00:00"/>
    <n v="361.96"/>
    <n v="937"/>
    <n v="2.5886838324676762"/>
    <n v="0.38629669156883667"/>
    <x v="2"/>
  </r>
  <r>
    <x v="7"/>
    <d v="2017-12-01T00:00:00"/>
    <n v="360.7"/>
    <n v="937"/>
    <n v="2.5977266426393126"/>
    <n v="0.38495197438633938"/>
    <x v="2"/>
  </r>
  <r>
    <x v="7"/>
    <d v="2018-01-01T00:00:00"/>
    <n v="362.23"/>
    <n v="954"/>
    <n v="2.6336857797531952"/>
    <n v="0.37969601677148851"/>
    <x v="3"/>
  </r>
  <r>
    <x v="7"/>
    <d v="2018-02-01T00:00:00"/>
    <n v="364.01"/>
    <n v="954"/>
    <n v="2.620807120683498"/>
    <n v="0.38156184486373163"/>
    <x v="3"/>
  </r>
  <r>
    <x v="7"/>
    <d v="2018-03-01T00:00:00"/>
    <n v="360.43"/>
    <n v="954"/>
    <n v="2.6468384984601725"/>
    <n v="0.37780922431865827"/>
    <x v="3"/>
  </r>
  <r>
    <x v="7"/>
    <d v="2018-04-01T00:00:00"/>
    <n v="365.81"/>
    <n v="954"/>
    <n v="2.6079112107378148"/>
    <n v="0.38344863731656187"/>
    <x v="3"/>
  </r>
  <r>
    <x v="7"/>
    <d v="2018-05-01T00:00:00"/>
    <n v="366.65"/>
    <n v="954"/>
    <n v="2.6019364516568935"/>
    <n v="0.38432914046121591"/>
    <x v="3"/>
  </r>
  <r>
    <x v="7"/>
    <d v="2018-06-01T00:00:00"/>
    <n v="365.81"/>
    <n v="954"/>
    <n v="2.6079112107378148"/>
    <n v="0.38344863731656187"/>
    <x v="3"/>
  </r>
  <r>
    <x v="7"/>
    <d v="2018-07-01T00:00:00"/>
    <n v="366.38"/>
    <n v="954"/>
    <n v="2.6038539221573229"/>
    <n v="0.38404612159329138"/>
    <x v="3"/>
  </r>
  <r>
    <x v="7"/>
    <d v="2018-08-01T00:00:00"/>
    <n v="362.47"/>
    <n v="954"/>
    <n v="2.6319419538168676"/>
    <n v="0.37994758909853255"/>
    <x v="3"/>
  </r>
  <r>
    <x v="7"/>
    <d v="2018-09-01T00:00:00"/>
    <n v="354.11"/>
    <n v="954"/>
    <n v="2.6940781113213408"/>
    <n v="0.37118448637316565"/>
    <x v="3"/>
  </r>
  <r>
    <x v="7"/>
    <d v="2018-10-01T00:00:00"/>
    <n v="357.72"/>
    <n v="954"/>
    <n v="2.6668903052666888"/>
    <n v="0.3749685534591195"/>
    <x v="3"/>
  </r>
  <r>
    <x v="7"/>
    <d v="2018-11-01T00:00:00"/>
    <n v="368.06"/>
    <n v="954"/>
    <n v="2.5919687007553116"/>
    <n v="0.38580712788259958"/>
    <x v="3"/>
  </r>
  <r>
    <x v="7"/>
    <d v="2018-12-01T00:00:00"/>
    <n v="388.86"/>
    <n v="954"/>
    <n v="2.4533251041505939"/>
    <n v="0.40761006289308177"/>
    <x v="3"/>
  </r>
  <r>
    <x v="7"/>
    <d v="2019-01-01T00:00:00"/>
    <n v="398.23"/>
    <n v="998"/>
    <n v="2.5060894457976546"/>
    <n v="0.39902805611222447"/>
    <x v="4"/>
  </r>
  <r>
    <x v="7"/>
    <d v="2019-02-01T00:00:00"/>
    <n v="416.4"/>
    <n v="998"/>
    <n v="2.3967339097022093"/>
    <n v="0.41723446893787575"/>
    <x v="4"/>
  </r>
  <r>
    <x v="7"/>
    <d v="2019-03-01T00:00:00"/>
    <n v="433.43"/>
    <n v="998"/>
    <n v="2.3025632743464919"/>
    <n v="0.43429859719438879"/>
    <x v="4"/>
  </r>
  <r>
    <x v="7"/>
    <d v="2019-04-01T00:00:00"/>
    <n v="445.28"/>
    <n v="998"/>
    <n v="2.2412863816025874"/>
    <n v="0.44617234468937872"/>
    <x v="4"/>
  </r>
  <r>
    <x v="7"/>
    <d v="2019-05-01T00:00:00"/>
    <n v="425.35"/>
    <n v="998"/>
    <n v="2.3463030445515458"/>
    <n v="0.42620240480961924"/>
    <x v="4"/>
  </r>
  <r>
    <x v="7"/>
    <d v="2019-06-01T00:00:00"/>
    <n v="421.65"/>
    <n v="998"/>
    <n v="2.3668919720147041"/>
    <n v="0.42249498997995988"/>
    <x v="4"/>
  </r>
  <r>
    <x v="7"/>
    <d v="2019-07-01T00:00:00"/>
    <n v="420.55"/>
    <n v="998"/>
    <n v="2.3730828676732849"/>
    <n v="0.42139278557114229"/>
    <x v="4"/>
  </r>
  <r>
    <x v="7"/>
    <d v="2019-08-01T00:00:00"/>
    <n v="399.4"/>
    <n v="998"/>
    <n v="2.498748122183275"/>
    <n v="0.40020040080160318"/>
    <x v="4"/>
  </r>
  <r>
    <x v="7"/>
    <d v="2019-09-01T00:00:00"/>
    <n v="391.31"/>
    <n v="998"/>
    <n v="2.5504076052234801"/>
    <n v="0.39209418837675353"/>
    <x v="4"/>
  </r>
  <r>
    <x v="7"/>
    <d v="2019-10-01T00:00:00"/>
    <n v="395.7"/>
    <n v="998"/>
    <n v="2.52211271165024"/>
    <n v="0.39649298597194388"/>
    <x v="4"/>
  </r>
  <r>
    <x v="7"/>
    <d v="2019-11-01T00:00:00"/>
    <n v="400.16"/>
    <n v="998"/>
    <n v="2.4940023990403839"/>
    <n v="0.40096192384769541"/>
    <x v="4"/>
  </r>
  <r>
    <x v="7"/>
    <d v="2019-12-01T00:00:00"/>
    <n v="454.75"/>
    <n v="998"/>
    <n v="2.1946124244090162"/>
    <n v="0.45566132264529058"/>
    <x v="4"/>
  </r>
  <r>
    <x v="7"/>
    <d v="2020-01-01T00:00:00"/>
    <n v="455.08"/>
    <n v="1039"/>
    <n v="2.2831150566933287"/>
    <n v="0.4379980750721848"/>
    <x v="5"/>
  </r>
  <r>
    <x v="7"/>
    <d v="2020-02-01T00:00:00"/>
    <n v="448.62"/>
    <n v="1045"/>
    <n v="2.3293656100931748"/>
    <n v="0.42930143540669857"/>
    <x v="5"/>
  </r>
  <r>
    <x v="7"/>
    <d v="2020-03-01T00:00:00"/>
    <n v="456.18"/>
    <n v="1045"/>
    <n v="2.2907624183436361"/>
    <n v="0.43653588516746411"/>
    <x v="5"/>
  </r>
  <r>
    <x v="7"/>
    <d v="2020-04-01T00:00:00"/>
    <n v="493.21"/>
    <n v="1045"/>
    <n v="2.1187729364773626"/>
    <n v="0.47197129186602871"/>
    <x v="5"/>
  </r>
  <r>
    <x v="7"/>
    <d v="2020-05-01T00:00:00"/>
    <n v="505.99"/>
    <n v="1045"/>
    <n v="2.0652582066839265"/>
    <n v="0.48420095693779908"/>
    <x v="5"/>
  </r>
  <r>
    <x v="7"/>
    <d v="2020-06-01T00:00:00"/>
    <n v="480.78"/>
    <n v="1045"/>
    <n v="2.1735513124506012"/>
    <n v="0.46007655502392342"/>
    <x v="5"/>
  </r>
  <r>
    <x v="7"/>
    <d v="2020-07-01T00:00:00"/>
    <n v="472.86"/>
    <n v="1045"/>
    <n v="2.2099564353085479"/>
    <n v="0.4524976076555024"/>
    <x v="5"/>
  </r>
  <r>
    <x v="7"/>
    <d v="2020-08-01T00:00:00"/>
    <n v="483.15"/>
    <n v="1045"/>
    <n v="2.1628893718306945"/>
    <n v="0.4623444976076555"/>
    <x v="5"/>
  </r>
  <r>
    <x v="7"/>
    <d v="2020-09-01T00:00:00"/>
    <n v="510.52"/>
    <n v="1045"/>
    <n v="2.0469325393716211"/>
    <n v="0.4885358851674641"/>
    <x v="5"/>
  </r>
  <r>
    <x v="7"/>
    <d v="2020-10-01T00:00:00"/>
    <n v="537.61"/>
    <n v="1045"/>
    <n v="1.9437882479864586"/>
    <n v="0.51445933014354073"/>
    <x v="5"/>
  </r>
  <r>
    <x v="7"/>
    <d v="2020-11-01T00:00:00"/>
    <n v="557.46"/>
    <n v="1045"/>
    <n v="1.874573960463531"/>
    <n v="0.53345454545454551"/>
    <x v="5"/>
  </r>
  <r>
    <x v="7"/>
    <d v="2020-12-01T00:00:00"/>
    <n v="563.79999999999995"/>
    <n v="1045"/>
    <n v="1.853494146860589"/>
    <n v="0.5395215311004784"/>
    <x v="5"/>
  </r>
  <r>
    <x v="7"/>
    <d v="2021-01-01T00:00:00"/>
    <n v="574.76"/>
    <n v="1100"/>
    <n v="1.9138422993945299"/>
    <n v="0.52250909090909092"/>
    <x v="6"/>
  </r>
  <r>
    <x v="7"/>
    <d v="2021-02-01T00:00:00"/>
    <n v="560.66999999999996"/>
    <n v="1100"/>
    <n v="1.9619383951343929"/>
    <n v="0.50969999999999993"/>
    <x v="6"/>
  </r>
  <r>
    <x v="7"/>
    <d v="2021-03-01T00:00:00"/>
    <n v="552.04999999999995"/>
    <n v="1100"/>
    <n v="1.99257313649126"/>
    <n v="0.50186363636363629"/>
    <x v="6"/>
  </r>
  <r>
    <x v="7"/>
    <d v="2021-04-01T00:00:00"/>
    <n v="556.27"/>
    <n v="1100"/>
    <n v="1.9774569903104608"/>
    <n v="0.50570000000000004"/>
    <x v="6"/>
  </r>
  <r>
    <x v="7"/>
    <d v="2021-05-01T00:00:00"/>
    <n v="564.04"/>
    <n v="1100"/>
    <n v="1.9502162967165451"/>
    <n v="0.51276363636363631"/>
    <x v="6"/>
  </r>
  <r>
    <x v="7"/>
    <d v="2021-06-01T00:00:00"/>
    <n v="551.49"/>
    <n v="1100"/>
    <n v="1.9945964568713848"/>
    <n v="0.5013545454545455"/>
    <x v="6"/>
  </r>
  <r>
    <x v="7"/>
    <d v="2021-07-01T00:00:00"/>
    <n v="562.13"/>
    <n v="1100"/>
    <n v="1.9568427232134915"/>
    <n v="0.51102727272727277"/>
    <x v="6"/>
  </r>
  <r>
    <x v="7"/>
    <d v="2021-08-01T00:00:00"/>
    <n v="565.4"/>
    <n v="1100"/>
    <n v="1.9455252918287937"/>
    <n v="0.51400000000000001"/>
    <x v="6"/>
  </r>
  <r>
    <x v="7"/>
    <d v="2021-09-01T00:00:00"/>
    <n v="574.08000000000004"/>
    <n v="1100"/>
    <n v="1.9161092530657746"/>
    <n v="0.52189090909090918"/>
    <x v="6"/>
  </r>
  <r>
    <x v="7"/>
    <d v="2021-10-01T00:00:00"/>
    <n v="591.78"/>
    <n v="1100"/>
    <n v="1.8587988779614046"/>
    <n v="0.53798181818181812"/>
    <x v="6"/>
  </r>
  <r>
    <x v="7"/>
    <d v="2021-11-01T00:00:00"/>
    <n v="599.64"/>
    <n v="1100"/>
    <n v="1.8344339937295711"/>
    <n v="0.54512727272727268"/>
    <x v="6"/>
  </r>
  <r>
    <x v="7"/>
    <d v="2021-12-01T00:00:00"/>
    <n v="597.24"/>
    <n v="1100"/>
    <n v="1.8418056392739937"/>
    <n v="0.54294545454545451"/>
    <x v="6"/>
  </r>
  <r>
    <x v="7"/>
    <d v="2022-01-01T00:00:00"/>
    <n v="624.91"/>
    <n v="1212"/>
    <n v="1.9394792850170426"/>
    <n v="0.5156023102310231"/>
    <x v="7"/>
  </r>
  <r>
    <x v="7"/>
    <d v="2022-02-01T00:00:00"/>
    <n v="641.09"/>
    <n v="1212"/>
    <n v="1.8905301907688468"/>
    <n v="0.5289521452145215"/>
    <x v="7"/>
  </r>
  <r>
    <x v="7"/>
    <d v="2022-03-01T00:00:00"/>
    <n v="663.48"/>
    <n v="1212"/>
    <n v="1.8267317778983541"/>
    <n v="0.54742574257425747"/>
    <x v="7"/>
  </r>
  <r>
    <x v="7"/>
    <d v="2022-04-01T00:00:00"/>
    <n v="682.87"/>
    <n v="1212"/>
    <n v="1.7748619795861584"/>
    <n v="0.56342409240924096"/>
    <x v="7"/>
  </r>
  <r>
    <x v="7"/>
    <d v="2022-05-01T00:00:00"/>
    <n v="674.63"/>
    <n v="1212"/>
    <n v="1.7965403258082209"/>
    <n v="0.55662541254125408"/>
    <x v="7"/>
  </r>
  <r>
    <x v="7"/>
    <d v="2022-06-01T00:00:00"/>
    <n v="674.08"/>
    <n v="1212"/>
    <n v="1.7980061713743174"/>
    <n v="0.55617161716171626"/>
    <x v="7"/>
  </r>
  <r>
    <x v="7"/>
    <d v="2022-07-01T00:00:00"/>
    <n v="672.91"/>
    <n v="1212"/>
    <n v="1.801132395119704"/>
    <n v="0.55520627062706263"/>
    <x v="7"/>
  </r>
  <r>
    <x v="7"/>
    <d v="2022-08-01T00:00:00"/>
    <n v="660.83"/>
    <n v="1212"/>
    <n v="1.8340571705279722"/>
    <n v="0.5452392739273928"/>
    <x v="7"/>
  </r>
  <r>
    <x v="7"/>
    <d v="2022-09-01T00:00:00"/>
    <n v="658.7"/>
    <n v="1212"/>
    <n v="1.8399878548656443"/>
    <n v="0.54348184818481848"/>
    <x v="7"/>
  </r>
  <r>
    <x v="7"/>
    <d v="2022-10-01T00:00:00"/>
    <n v="675.79"/>
    <n v="1212"/>
    <n v="1.7934565471522219"/>
    <n v="0.557582508250825"/>
    <x v="7"/>
  </r>
  <r>
    <x v="7"/>
    <d v="2022-11-01T00:00:00"/>
    <n v="689.49"/>
    <n v="1212"/>
    <n v="1.7578209981290518"/>
    <n v="0.56888613861386139"/>
    <x v="7"/>
  </r>
  <r>
    <x v="7"/>
    <d v="2022-12-01T00:00:00"/>
    <n v="704.63"/>
    <n v="1212"/>
    <n v="1.720051658317131"/>
    <n v="0.58137788778877886"/>
    <x v="7"/>
  </r>
  <r>
    <x v="7"/>
    <d v="2023-01-01T00:00:00"/>
    <n v="710.62"/>
    <n v="1302"/>
    <n v="1.8322028651037123"/>
    <n v="0.54579109062980036"/>
    <x v="8"/>
  </r>
  <r>
    <x v="7"/>
    <d v="2023-02-01T00:00:00"/>
    <n v="695.18"/>
    <n v="1302"/>
    <n v="1.8728962283149688"/>
    <n v="0.53393241167434713"/>
    <x v="8"/>
  </r>
  <r>
    <x v="7"/>
    <d v="2023-03-01T00:00:00"/>
    <n v="680.92"/>
    <n v="1302"/>
    <n v="1.9121188979615815"/>
    <n v="0.52298003072196619"/>
    <x v="8"/>
  </r>
  <r>
    <x v="7"/>
    <d v="2023-04-01T00:00:00"/>
    <n v="704.94"/>
    <n v="1302"/>
    <n v="1.8469656992084431"/>
    <n v="0.54142857142857148"/>
    <x v="8"/>
  </r>
  <r>
    <x v="7"/>
    <d v="2023-05-01T00:00:00"/>
    <n v="704.89"/>
    <n v="1320"/>
    <n v="1.8726326093433019"/>
    <n v="0.53400757575757574"/>
    <x v="8"/>
  </r>
  <r>
    <x v="7"/>
    <d v="2023-06-01T00:00:00"/>
    <n v="669.39"/>
    <n v="1320"/>
    <n v="1.9719446062833326"/>
    <n v="0.50711363636363638"/>
    <x v="8"/>
  </r>
  <r>
    <x v="7"/>
    <d v="2023-07-01T00:00:00"/>
    <n v="657.71"/>
    <n v="1320"/>
    <n v="2.006963555366347"/>
    <n v="0.49826515151515155"/>
    <x v="8"/>
  </r>
  <r>
    <x v="7"/>
    <d v="2023-08-01T00:00:00"/>
    <n v="641.53"/>
    <n v="1320"/>
    <n v="2.0575810951943012"/>
    <n v="0.48600757575757575"/>
    <x v="8"/>
  </r>
  <r>
    <x v="7"/>
    <d v="2023-09-01T00:00:00"/>
    <n v="630.95000000000005"/>
    <n v="1320"/>
    <n v="2.0920833663523255"/>
    <n v="0.47799242424242427"/>
    <x v="8"/>
  </r>
  <r>
    <x v="7"/>
    <d v="2023-10-01T00:00:00"/>
    <n v="636.07000000000005"/>
    <n v="1320"/>
    <n v="2.0752432908327698"/>
    <n v="0.48187121212121214"/>
    <x v="8"/>
  </r>
  <r>
    <x v="7"/>
    <d v="2023-11-01T00:00:00"/>
    <n v="648.59"/>
    <n v="1320"/>
    <n v="2.0351840145546491"/>
    <n v="0.49135606060606063"/>
    <x v="8"/>
  </r>
  <r>
    <x v="7"/>
    <d v="2023-12-01T00:00:00"/>
    <n v="669.36"/>
    <n v="1320"/>
    <n v="1.9720329867335962"/>
    <n v="0.50709090909090915"/>
    <x v="8"/>
  </r>
  <r>
    <x v="7"/>
    <d v="2024-01-01T00:00:00"/>
    <n v="710.7"/>
    <n v="1412"/>
    <n v="1.9867736034895171"/>
    <n v="0.50332861189801703"/>
    <x v="9"/>
  </r>
  <r>
    <x v="7"/>
    <d v="2024-02-01T00:00:00"/>
    <n v="707.81"/>
    <n v="1412"/>
    <n v="1.9948856331501392"/>
    <n v="0.50128186968838528"/>
    <x v="9"/>
  </r>
  <r>
    <x v="7"/>
    <d v="2024-03-01T00:00:00"/>
    <n v="703.57"/>
    <n v="1412"/>
    <n v="2.0069076282388387"/>
    <n v="0.49827903682719549"/>
    <x v="9"/>
  </r>
  <r>
    <x v="7"/>
    <d v="2024-04-01T00:00:00"/>
    <n v="701.01"/>
    <n v="1412"/>
    <n v="2.0142366014750146"/>
    <n v="0.49646600566572235"/>
    <x v="9"/>
  </r>
  <r>
    <x v="7"/>
    <d v="2024-05-01T00:00:00"/>
    <n v="704.51"/>
    <n v="1412"/>
    <n v="2.0042298902783493"/>
    <n v="0.49894475920679887"/>
    <x v="9"/>
  </r>
  <r>
    <x v="7"/>
    <d v="2024-06-01T00:00:00"/>
    <n v="711.43"/>
    <n v="1412"/>
    <n v="1.9847349704117061"/>
    <n v="0.50384560906515574"/>
    <x v="9"/>
  </r>
  <r>
    <x v="7"/>
    <d v="2024-07-01T00:00:00"/>
    <n v="695.98"/>
    <n v="1412"/>
    <n v="2.0287939308600822"/>
    <n v="0.49290368271954677"/>
    <x v="9"/>
  </r>
  <r>
    <x v="7"/>
    <d v="2024-08-01T00:00:00"/>
    <n v="667.87"/>
    <n v="1412"/>
    <n v="2.1141838980639944"/>
    <n v="0.47299575070821531"/>
    <x v="9"/>
  </r>
  <r>
    <x v="7"/>
    <d v="2024-09-01T00:00:00"/>
    <n v="672.93"/>
    <n v="1412"/>
    <n v="2.0982865974172649"/>
    <n v="0.47657932011331439"/>
    <x v="9"/>
  </r>
  <r>
    <x v="7"/>
    <d v="2024-10-01T00:00:00"/>
    <n v="695.37"/>
    <n v="1412"/>
    <n v="2.0305736514373645"/>
    <n v="0.49247167138810199"/>
    <x v="9"/>
  </r>
  <r>
    <x v="7"/>
    <d v="2024-11-01T00:00:00"/>
    <n v="727.65"/>
    <n v="1412"/>
    <n v="1.9404933690647976"/>
    <n v="0.51533286118980171"/>
    <x v="9"/>
  </r>
  <r>
    <x v="7"/>
    <d v="2024-12-01T00:00:00"/>
    <n v="732.5"/>
    <n v="1412"/>
    <n v="1.9276450511945393"/>
    <n v="0.51876770538243622"/>
    <x v="9"/>
  </r>
  <r>
    <x v="7"/>
    <d v="2025-01-01T00:00:00"/>
    <n v="756.92"/>
    <n v="1518"/>
    <n v="2.0054959573006395"/>
    <n v="0.49862977602108033"/>
    <x v="10"/>
  </r>
  <r>
    <x v="7"/>
    <d v="2025-02-01T00:00:00"/>
    <n v="739.34"/>
    <n v="1518"/>
    <n v="2.0531825682365352"/>
    <n v="0.48704874835309619"/>
    <x v="10"/>
  </r>
  <r>
    <x v="7"/>
    <d v="2025-03-01T00:00:00"/>
    <n v="754.06"/>
    <n v="1518"/>
    <n v="2.0131024056441134"/>
    <n v="0.49674571805006584"/>
    <x v="10"/>
  </r>
  <r>
    <x v="7"/>
    <d v="2025-04-01T00:00:00"/>
    <n v="767.43"/>
    <n v="1518"/>
    <n v="1.978030569563348"/>
    <n v="0.50555335968379445"/>
    <x v="10"/>
  </r>
  <r>
    <x v="7"/>
    <d v="2025-05-01T00:00:00"/>
    <n v="758.67"/>
    <n v="1518"/>
    <n v="2.0008699434536754"/>
    <n v="0.49978260869565216"/>
    <x v="10"/>
  </r>
  <r>
    <x v="7"/>
    <d v="2025-06-01T00:00:00"/>
    <n v="744.27"/>
    <n v="1518"/>
    <n v="2.0395824096094159"/>
    <n v="0.49029644268774702"/>
    <x v="10"/>
  </r>
  <r>
    <x v="8"/>
    <d v="2015-01-01T00:00:00"/>
    <n v="278.73"/>
    <n v="788"/>
    <n v="2.8271086714741864"/>
    <n v="0.35371827411167517"/>
    <x v="0"/>
  </r>
  <r>
    <x v="8"/>
    <d v="2015-02-01T00:00:00"/>
    <n v="286.22000000000003"/>
    <n v="788"/>
    <n v="2.7531269652714694"/>
    <n v="0.36322335025380714"/>
    <x v="0"/>
  </r>
  <r>
    <x v="8"/>
    <d v="2015-03-01T00:00:00"/>
    <n v="288.43"/>
    <n v="788"/>
    <n v="2.7320320355025483"/>
    <n v="0.36602791878172591"/>
    <x v="0"/>
  </r>
  <r>
    <x v="8"/>
    <d v="2015-04-01T00:00:00"/>
    <n v="299.89999999999998"/>
    <n v="788"/>
    <n v="2.6275425141713908"/>
    <n v="0.38058375634517766"/>
    <x v="0"/>
  </r>
  <r>
    <x v="8"/>
    <d v="2015-05-01T00:00:00"/>
    <n v="303.8"/>
    <n v="788"/>
    <n v="2.5938117182356812"/>
    <n v="0.3855329949238579"/>
    <x v="0"/>
  </r>
  <r>
    <x v="8"/>
    <d v="2015-06-01T00:00:00"/>
    <n v="309.48"/>
    <n v="788"/>
    <n v="2.5462065400025846"/>
    <n v="0.39274111675126905"/>
    <x v="0"/>
  </r>
  <r>
    <x v="8"/>
    <d v="2015-07-01T00:00:00"/>
    <n v="306.52999999999997"/>
    <n v="788"/>
    <n v="2.570710860274688"/>
    <n v="0.38899746192893397"/>
    <x v="0"/>
  </r>
  <r>
    <x v="8"/>
    <d v="2015-08-01T00:00:00"/>
    <n v="307.39"/>
    <n v="788"/>
    <n v="2.5635186570805817"/>
    <n v="0.39008883248730963"/>
    <x v="0"/>
  </r>
  <r>
    <x v="8"/>
    <d v="2015-09-01T00:00:00"/>
    <n v="299.64999999999998"/>
    <n v="788"/>
    <n v="2.6297346904722176"/>
    <n v="0.38026649746192892"/>
    <x v="0"/>
  </r>
  <r>
    <x v="8"/>
    <d v="2015-10-01T00:00:00"/>
    <n v="298.17"/>
    <n v="788"/>
    <n v="2.6427876714625884"/>
    <n v="0.37838832487309648"/>
    <x v="0"/>
  </r>
  <r>
    <x v="8"/>
    <d v="2015-11-01T00:00:00"/>
    <n v="310.14999999999998"/>
    <n v="788"/>
    <n v="2.5407061099468002"/>
    <n v="0.39359137055837562"/>
    <x v="0"/>
  </r>
  <r>
    <x v="8"/>
    <d v="2015-12-01T00:00:00"/>
    <n v="316.82"/>
    <n v="788"/>
    <n v="2.4872167161164067"/>
    <n v="0.40205583756345176"/>
    <x v="0"/>
  </r>
  <r>
    <x v="8"/>
    <d v="2016-01-01T00:00:00"/>
    <n v="349.75"/>
    <n v="880"/>
    <n v="2.516082916368835"/>
    <n v="0.39744318181818183"/>
    <x v="1"/>
  </r>
  <r>
    <x v="8"/>
    <d v="2016-02-01T00:00:00"/>
    <n v="360.66"/>
    <n v="880"/>
    <n v="2.4399711639771526"/>
    <n v="0.40984090909090914"/>
    <x v="1"/>
  </r>
  <r>
    <x v="8"/>
    <d v="2016-03-01T00:00:00"/>
    <n v="351.88"/>
    <n v="880"/>
    <n v="2.5008525633738774"/>
    <n v="0.39986363636363637"/>
    <x v="1"/>
  </r>
  <r>
    <x v="8"/>
    <d v="2016-04-01T00:00:00"/>
    <n v="365.83"/>
    <n v="880"/>
    <n v="2.4054888882814423"/>
    <n v="0.41571590909090905"/>
    <x v="1"/>
  </r>
  <r>
    <x v="8"/>
    <d v="2016-05-01T00:00:00"/>
    <n v="361.39"/>
    <n v="880"/>
    <n v="2.4350424748886246"/>
    <n v="0.41067045454545453"/>
    <x v="1"/>
  </r>
  <r>
    <x v="8"/>
    <d v="2016-06-01T00:00:00"/>
    <n v="366.06"/>
    <n v="880"/>
    <n v="2.4039774900289568"/>
    <n v="0.41597727272727275"/>
    <x v="1"/>
  </r>
  <r>
    <x v="8"/>
    <d v="2016-07-01T00:00:00"/>
    <n v="387.24"/>
    <n v="880"/>
    <n v="2.2724925111042249"/>
    <n v="0.44004545454545457"/>
    <x v="1"/>
  </r>
  <r>
    <x v="8"/>
    <d v="2016-08-01T00:00:00"/>
    <n v="385.83"/>
    <n v="880"/>
    <n v="2.2807972423087888"/>
    <n v="0.43844318181818182"/>
    <x v="1"/>
  </r>
  <r>
    <x v="8"/>
    <d v="2016-09-01T00:00:00"/>
    <n v="386.92"/>
    <n v="880"/>
    <n v="2.2743719631965265"/>
    <n v="0.43968181818181817"/>
    <x v="1"/>
  </r>
  <r>
    <x v="8"/>
    <d v="2016-10-01T00:00:00"/>
    <n v="385.5"/>
    <n v="880"/>
    <n v="2.2827496757457846"/>
    <n v="0.4380681818181818"/>
    <x v="1"/>
  </r>
  <r>
    <x v="8"/>
    <d v="2016-11-01T00:00:00"/>
    <n v="370.65"/>
    <n v="880"/>
    <n v="2.3742074733576151"/>
    <n v="0.42119318181818177"/>
    <x v="1"/>
  </r>
  <r>
    <x v="8"/>
    <d v="2016-12-01T00:00:00"/>
    <n v="366.16"/>
    <n v="880"/>
    <n v="2.403320952589032"/>
    <n v="0.41609090909090912"/>
    <x v="1"/>
  </r>
  <r>
    <x v="8"/>
    <d v="2017-01-01T00:00:00"/>
    <n v="368.95"/>
    <n v="937"/>
    <n v="2.5396395175498037"/>
    <n v="0.39375667022411953"/>
    <x v="2"/>
  </r>
  <r>
    <x v="8"/>
    <d v="2017-02-01T00:00:00"/>
    <n v="364.75"/>
    <n v="937"/>
    <n v="2.5688827964359149"/>
    <n v="0.38927427961579508"/>
    <x v="2"/>
  </r>
  <r>
    <x v="8"/>
    <d v="2017-03-01T00:00:00"/>
    <n v="374.18"/>
    <n v="937"/>
    <n v="2.5041423913624459"/>
    <n v="0.39933831376734258"/>
    <x v="2"/>
  </r>
  <r>
    <x v="8"/>
    <d v="2017-04-01T00:00:00"/>
    <n v="382.52"/>
    <n v="937"/>
    <n v="2.4495451218236957"/>
    <n v="0.40823906083244393"/>
    <x v="2"/>
  </r>
  <r>
    <x v="8"/>
    <d v="2017-05-01T00:00:00"/>
    <n v="383.81"/>
    <n v="937"/>
    <n v="2.4413121075532165"/>
    <n v="0.40961579509071505"/>
    <x v="2"/>
  </r>
  <r>
    <x v="8"/>
    <d v="2017-06-01T00:00:00"/>
    <n v="369.78"/>
    <n v="937"/>
    <n v="2.5339390989236845"/>
    <n v="0.39464247598719315"/>
    <x v="2"/>
  </r>
  <r>
    <x v="8"/>
    <d v="2017-07-01T00:00:00"/>
    <n v="361.41"/>
    <n v="937"/>
    <n v="2.5926233363769677"/>
    <n v="0.38570971184631808"/>
    <x v="2"/>
  </r>
  <r>
    <x v="8"/>
    <d v="2017-08-01T00:00:00"/>
    <n v="351.08"/>
    <n v="937"/>
    <n v="2.6689073715392504"/>
    <n v="0.37468516542155816"/>
    <x v="2"/>
  </r>
  <r>
    <x v="8"/>
    <d v="2017-09-01T00:00:00"/>
    <n v="334.86"/>
    <n v="937"/>
    <n v="2.7981843158334825"/>
    <n v="0.35737459978655284"/>
    <x v="2"/>
  </r>
  <r>
    <x v="8"/>
    <d v="2017-10-01T00:00:00"/>
    <n v="330.38"/>
    <n v="937"/>
    <n v="2.8361280949209999"/>
    <n v="0.35259338313767341"/>
    <x v="2"/>
  </r>
  <r>
    <x v="8"/>
    <d v="2017-11-01T00:00:00"/>
    <n v="324.89999999999998"/>
    <n v="937"/>
    <n v="2.883964296706679"/>
    <n v="0.34674493062966916"/>
    <x v="2"/>
  </r>
  <r>
    <x v="8"/>
    <d v="2017-12-01T00:00:00"/>
    <n v="329.52"/>
    <n v="937"/>
    <n v="2.8435299830055842"/>
    <n v="0.35167556029882602"/>
    <x v="2"/>
  </r>
  <r>
    <x v="8"/>
    <d v="2018-01-01T00:00:00"/>
    <n v="368.76"/>
    <n v="954"/>
    <n v="2.5870484868206964"/>
    <n v="0.38654088050314467"/>
    <x v="3"/>
  </r>
  <r>
    <x v="8"/>
    <d v="2018-02-01T00:00:00"/>
    <n v="354.15"/>
    <n v="954"/>
    <n v="2.693773824650572"/>
    <n v="0.37122641509433962"/>
    <x v="3"/>
  </r>
  <r>
    <x v="8"/>
    <d v="2018-03-01T00:00:00"/>
    <n v="349.83"/>
    <n v="954"/>
    <n v="2.7270388474401854"/>
    <n v="0.36669811320754714"/>
    <x v="3"/>
  </r>
  <r>
    <x v="8"/>
    <d v="2018-04-01T00:00:00"/>
    <n v="335.77"/>
    <n v="954"/>
    <n v="2.8412306042826936"/>
    <n v="0.3519601677148847"/>
    <x v="3"/>
  </r>
  <r>
    <x v="8"/>
    <d v="2018-05-01T00:00:00"/>
    <n v="346.42"/>
    <n v="954"/>
    <n v="2.7538825702903988"/>
    <n v="0.36312368972746334"/>
    <x v="3"/>
  </r>
  <r>
    <x v="8"/>
    <d v="2018-06-01T00:00:00"/>
    <n v="349.8"/>
    <n v="954"/>
    <n v="2.7272727272727271"/>
    <n v="0.3666666666666667"/>
    <x v="3"/>
  </r>
  <r>
    <x v="8"/>
    <d v="2018-07-01T00:00:00"/>
    <n v="347.15"/>
    <n v="954"/>
    <n v="2.7480916030534353"/>
    <n v="0.36388888888888887"/>
    <x v="3"/>
  </r>
  <r>
    <x v="8"/>
    <d v="2018-08-01T00:00:00"/>
    <n v="335.49"/>
    <n v="954"/>
    <n v="2.8436018957345972"/>
    <n v="0.35166666666666668"/>
    <x v="3"/>
  </r>
  <r>
    <x v="8"/>
    <d v="2018-09-01T00:00:00"/>
    <n v="328.99"/>
    <n v="954"/>
    <n v="2.8997841879692392"/>
    <n v="0.34485324947589102"/>
    <x v="3"/>
  </r>
  <r>
    <x v="8"/>
    <d v="2018-10-01T00:00:00"/>
    <n v="334.1"/>
    <n v="954"/>
    <n v="2.8554325052379523"/>
    <n v="0.35020964360587004"/>
    <x v="3"/>
  </r>
  <r>
    <x v="8"/>
    <d v="2018-11-01T00:00:00"/>
    <n v="339.39"/>
    <n v="954"/>
    <n v="2.8109254839565105"/>
    <n v="0.35575471698113204"/>
    <x v="3"/>
  </r>
  <r>
    <x v="8"/>
    <d v="2018-12-01T00:00:00"/>
    <n v="345.21"/>
    <n v="954"/>
    <n v="2.7635352394194839"/>
    <n v="0.36185534591194968"/>
    <x v="3"/>
  </r>
  <r>
    <x v="8"/>
    <d v="2019-01-01T00:00:00"/>
    <n v="360.92"/>
    <n v="998"/>
    <n v="2.7651557131774354"/>
    <n v="0.36164328657314632"/>
    <x v="4"/>
  </r>
  <r>
    <x v="8"/>
    <d v="2019-02-01T00:00:00"/>
    <n v="378.26"/>
    <n v="998"/>
    <n v="2.6383968698778619"/>
    <n v="0.37901803607214429"/>
    <x v="4"/>
  </r>
  <r>
    <x v="8"/>
    <d v="2019-03-01T00:00:00"/>
    <n v="400.38"/>
    <n v="998"/>
    <n v="2.4926319996003796"/>
    <n v="0.4011823647294589"/>
    <x v="4"/>
  </r>
  <r>
    <x v="8"/>
    <d v="2019-04-01T00:00:00"/>
    <n v="412.27"/>
    <n v="998"/>
    <n v="2.4207436873893324"/>
    <n v="0.41309619238476952"/>
    <x v="4"/>
  </r>
  <r>
    <x v="8"/>
    <d v="2019-05-01T00:00:00"/>
    <n v="403.57"/>
    <n v="998"/>
    <n v="2.4729291077136555"/>
    <n v="0.40437875751503005"/>
    <x v="4"/>
  </r>
  <r>
    <x v="8"/>
    <d v="2019-06-01T00:00:00"/>
    <n v="398.72"/>
    <n v="998"/>
    <n v="2.5030096308186196"/>
    <n v="0.39951903807615236"/>
    <x v="4"/>
  </r>
  <r>
    <x v="8"/>
    <d v="2019-07-01T00:00:00"/>
    <n v="385.58"/>
    <n v="998"/>
    <n v="2.5883085222262565"/>
    <n v="0.38635270541082162"/>
    <x v="4"/>
  </r>
  <r>
    <x v="8"/>
    <d v="2019-08-01T00:00:00"/>
    <n v="367.86"/>
    <n v="998"/>
    <n v="2.7129886369814602"/>
    <n v="0.36859719438877758"/>
    <x v="4"/>
  </r>
  <r>
    <x v="8"/>
    <d v="2019-09-01T00:00:00"/>
    <n v="359.62"/>
    <n v="998"/>
    <n v="2.775151548857127"/>
    <n v="0.36034068136272546"/>
    <x v="4"/>
  </r>
  <r>
    <x v="8"/>
    <d v="2019-10-01T00:00:00"/>
    <n v="351.19"/>
    <n v="998"/>
    <n v="2.841766565107207"/>
    <n v="0.35189378757515027"/>
    <x v="4"/>
  </r>
  <r>
    <x v="8"/>
    <d v="2019-11-01T00:00:00"/>
    <n v="347.14"/>
    <n v="998"/>
    <n v="2.874920781240998"/>
    <n v="0.34783567134268534"/>
    <x v="4"/>
  </r>
  <r>
    <x v="8"/>
    <d v="2019-12-01T00:00:00"/>
    <n v="373.56"/>
    <n v="998"/>
    <n v="2.6715922475639791"/>
    <n v="0.37430861723446895"/>
    <x v="4"/>
  </r>
  <r>
    <x v="8"/>
    <d v="2020-01-01T00:00:00"/>
    <n v="388.02"/>
    <n v="1039"/>
    <n v="2.6776970259264989"/>
    <n v="0.37345524542829645"/>
    <x v="5"/>
  </r>
  <r>
    <x v="8"/>
    <d v="2020-02-01T00:00:00"/>
    <n v="403.98"/>
    <n v="1045"/>
    <n v="2.5867617208772709"/>
    <n v="0.38658373205741631"/>
    <x v="5"/>
  </r>
  <r>
    <x v="8"/>
    <d v="2020-03-01T00:00:00"/>
    <n v="414.05"/>
    <n v="1045"/>
    <n v="2.5238497765970291"/>
    <n v="0.39622009569377992"/>
    <x v="5"/>
  </r>
  <r>
    <x v="8"/>
    <d v="2020-04-01T00:00:00"/>
    <n v="437.93"/>
    <n v="1045"/>
    <n v="2.3862261091955337"/>
    <n v="0.41907177033492826"/>
    <x v="5"/>
  </r>
  <r>
    <x v="8"/>
    <d v="2020-05-01T00:00:00"/>
    <n v="440.25"/>
    <n v="1045"/>
    <n v="2.3736513344690517"/>
    <n v="0.42129186602870811"/>
    <x v="5"/>
  </r>
  <r>
    <x v="8"/>
    <d v="2020-06-01T00:00:00"/>
    <n v="430.44"/>
    <n v="1045"/>
    <n v="2.4277483505250443"/>
    <n v="0.41190430622009572"/>
    <x v="5"/>
  </r>
  <r>
    <x v="8"/>
    <d v="2020-07-01T00:00:00"/>
    <n v="417.75"/>
    <n v="1045"/>
    <n v="2.5014961101137043"/>
    <n v="0.39976076555023926"/>
    <x v="5"/>
  </r>
  <r>
    <x v="8"/>
    <d v="2020-08-01T00:00:00"/>
    <n v="414.5"/>
    <n v="1045"/>
    <n v="2.5211097708082026"/>
    <n v="0.39665071770334931"/>
    <x v="5"/>
  </r>
  <r>
    <x v="8"/>
    <d v="2020-09-01T00:00:00"/>
    <n v="432.04"/>
    <n v="1045"/>
    <n v="2.4187575224516249"/>
    <n v="0.4134354066985646"/>
    <x v="5"/>
  </r>
  <r>
    <x v="8"/>
    <d v="2020-10-01T00:00:00"/>
    <n v="449.97"/>
    <n v="1045"/>
    <n v="2.3223770473587129"/>
    <n v="0.43059330143540675"/>
    <x v="5"/>
  </r>
  <r>
    <x v="8"/>
    <d v="2020-11-01T00:00:00"/>
    <n v="454.85"/>
    <n v="1045"/>
    <n v="2.2974607013301087"/>
    <n v="0.43526315789473685"/>
    <x v="5"/>
  </r>
  <r>
    <x v="8"/>
    <d v="2020-12-01T00:00:00"/>
    <n v="475.19"/>
    <n v="1045"/>
    <n v="2.1991203518592561"/>
    <n v="0.4547272727272727"/>
    <x v="5"/>
  </r>
  <r>
    <x v="8"/>
    <d v="2021-01-01T00:00:00"/>
    <n v="471.87"/>
    <n v="1100"/>
    <n v="2.3311505287473246"/>
    <n v="0.42897272727272728"/>
    <x v="6"/>
  </r>
  <r>
    <x v="8"/>
    <d v="2021-02-01T00:00:00"/>
    <n v="484.54"/>
    <n v="1100"/>
    <n v="2.2701944111941224"/>
    <n v="0.4404909090909091"/>
    <x v="6"/>
  </r>
  <r>
    <x v="8"/>
    <d v="2021-03-01T00:00:00"/>
    <n v="478.52"/>
    <n v="1100"/>
    <n v="2.2987544930201453"/>
    <n v="0.4350181818181818"/>
    <x v="6"/>
  </r>
  <r>
    <x v="8"/>
    <d v="2021-04-01T00:00:00"/>
    <n v="490.04"/>
    <n v="1100"/>
    <n v="2.2447147171659454"/>
    <n v="0.4454909090909091"/>
    <x v="6"/>
  </r>
  <r>
    <x v="8"/>
    <d v="2021-05-01T00:00:00"/>
    <n v="491.63"/>
    <n v="1100"/>
    <n v="2.2374549966438173"/>
    <n v="0.44693636363636363"/>
    <x v="6"/>
  </r>
  <r>
    <x v="8"/>
    <d v="2021-06-01T00:00:00"/>
    <n v="495.76"/>
    <n v="1100"/>
    <n v="2.2188155559141522"/>
    <n v="0.45069090909090909"/>
    <x v="6"/>
  </r>
  <r>
    <x v="8"/>
    <d v="2021-07-01T00:00:00"/>
    <n v="492.3"/>
    <n v="1100"/>
    <n v="2.2344099126548853"/>
    <n v="0.44754545454545458"/>
    <x v="6"/>
  </r>
  <r>
    <x v="8"/>
    <d v="2021-08-01T00:00:00"/>
    <n v="490.93"/>
    <n v="1100"/>
    <n v="2.2406453058480844"/>
    <n v="0.44630000000000003"/>
    <x v="6"/>
  </r>
  <r>
    <x v="8"/>
    <d v="2021-09-01T00:00:00"/>
    <n v="476.63"/>
    <n v="1100"/>
    <n v="2.3078698361412417"/>
    <n v="0.43330000000000002"/>
    <x v="6"/>
  </r>
  <r>
    <x v="8"/>
    <d v="2021-10-01T00:00:00"/>
    <n v="491.12"/>
    <n v="1100"/>
    <n v="2.239778465548135"/>
    <n v="0.4464727272727273"/>
    <x v="6"/>
  </r>
  <r>
    <x v="8"/>
    <d v="2021-11-01T00:00:00"/>
    <n v="508.91"/>
    <n v="1100"/>
    <n v="2.1614823839185711"/>
    <n v="0.46264545454545458"/>
    <x v="6"/>
  </r>
  <r>
    <x v="8"/>
    <d v="2021-12-01T00:00:00"/>
    <n v="510.82"/>
    <n v="1100"/>
    <n v="2.1534004150189889"/>
    <n v="0.46438181818181817"/>
    <x v="6"/>
  </r>
  <r>
    <x v="8"/>
    <d v="2022-01-01T00:00:00"/>
    <n v="538.65"/>
    <n v="1212"/>
    <n v="2.250069618490671"/>
    <n v="0.44443069306930694"/>
    <x v="7"/>
  </r>
  <r>
    <x v="8"/>
    <d v="2022-02-01T00:00:00"/>
    <n v="549.33000000000004"/>
    <n v="1212"/>
    <n v="2.2063240675004092"/>
    <n v="0.45324257425742576"/>
    <x v="7"/>
  </r>
  <r>
    <x v="8"/>
    <d v="2022-03-01T00:00:00"/>
    <n v="567.84"/>
    <n v="1212"/>
    <n v="2.1344040574809804"/>
    <n v="0.46851485148514854"/>
    <x v="7"/>
  </r>
  <r>
    <x v="8"/>
    <d v="2022-04-01T00:00:00"/>
    <n v="573.70000000000005"/>
    <n v="1212"/>
    <n v="2.1126024054383823"/>
    <n v="0.47334983498349836"/>
    <x v="7"/>
  </r>
  <r>
    <x v="8"/>
    <d v="2022-05-01T00:00:00"/>
    <n v="567.66999999999996"/>
    <n v="1212"/>
    <n v="2.135043246956859"/>
    <n v="0.46837458745874583"/>
    <x v="7"/>
  </r>
  <r>
    <x v="8"/>
    <d v="2022-06-01T00:00:00"/>
    <n v="586.73"/>
    <n v="1212"/>
    <n v="2.0656860907061168"/>
    <n v="0.48410066006600661"/>
    <x v="7"/>
  </r>
  <r>
    <x v="8"/>
    <d v="2022-07-01T00:00:00"/>
    <n v="572.63"/>
    <n v="1212"/>
    <n v="2.1165499537222989"/>
    <n v="0.47246699669966996"/>
    <x v="7"/>
  </r>
  <r>
    <x v="8"/>
    <d v="2022-08-01T00:00:00"/>
    <n v="568.21"/>
    <n v="1212"/>
    <n v="2.1330142024955561"/>
    <n v="0.46882013201320133"/>
    <x v="7"/>
  </r>
  <r>
    <x v="8"/>
    <d v="2022-09-01T00:00:00"/>
    <n v="562.32000000000005"/>
    <n v="1212"/>
    <n v="2.155356380708493"/>
    <n v="0.46396039603960398"/>
    <x v="7"/>
  </r>
  <r>
    <x v="8"/>
    <d v="2022-10-01T00:00:00"/>
    <n v="559.57000000000005"/>
    <n v="1212"/>
    <n v="2.1659488535840019"/>
    <n v="0.46169141914191425"/>
    <x v="7"/>
  </r>
  <r>
    <x v="8"/>
    <d v="2022-11-01T00:00:00"/>
    <n v="552.42999999999995"/>
    <n v="1212"/>
    <n v="2.1939431240157128"/>
    <n v="0.45580033003300324"/>
    <x v="7"/>
  </r>
  <r>
    <x v="8"/>
    <d v="2022-12-01T00:00:00"/>
    <n v="561.84"/>
    <n v="1212"/>
    <n v="2.1571977787270398"/>
    <n v="0.46356435643564359"/>
    <x v="7"/>
  </r>
  <r>
    <x v="8"/>
    <d v="2023-01-01T00:00:00"/>
    <n v="600.05999999999995"/>
    <n v="1302"/>
    <n v="2.1697830216978304"/>
    <n v="0.4608755760368663"/>
    <x v="8"/>
  </r>
  <r>
    <x v="8"/>
    <d v="2023-02-01T00:00:00"/>
    <n v="600.1"/>
    <n v="1302"/>
    <n v="2.1696383936010664"/>
    <n v="0.4609062980030722"/>
    <x v="8"/>
  </r>
  <r>
    <x v="8"/>
    <d v="2023-03-01T00:00:00"/>
    <n v="579.57000000000005"/>
    <n v="1302"/>
    <n v="2.246493089704436"/>
    <n v="0.4451382488479263"/>
    <x v="8"/>
  </r>
  <r>
    <x v="8"/>
    <d v="2023-04-01T00:00:00"/>
    <n v="585.41999999999996"/>
    <n v="1302"/>
    <n v="2.224044275904479"/>
    <n v="0.44963133640552994"/>
    <x v="8"/>
  </r>
  <r>
    <x v="8"/>
    <d v="2023-05-01T00:00:00"/>
    <n v="580.95000000000005"/>
    <n v="1320"/>
    <n v="2.2721404595920474"/>
    <n v="0.44011363636363637"/>
    <x v="8"/>
  </r>
  <r>
    <x v="8"/>
    <d v="2023-06-01T00:00:00"/>
    <n v="604.89"/>
    <n v="1320"/>
    <n v="2.1822149481723949"/>
    <n v="0.45824999999999999"/>
    <x v="8"/>
  </r>
  <r>
    <x v="8"/>
    <d v="2023-07-01T00:00:00"/>
    <n v="581.30999999999995"/>
    <n v="1320"/>
    <n v="2.2707333436548489"/>
    <n v="0.44038636363636358"/>
    <x v="8"/>
  </r>
  <r>
    <x v="8"/>
    <d v="2023-08-01T00:00:00"/>
    <n v="565.07000000000005"/>
    <n v="1320"/>
    <n v="2.3359937706832778"/>
    <n v="0.42808333333333337"/>
    <x v="8"/>
  </r>
  <r>
    <x v="8"/>
    <d v="2023-09-01T00:00:00"/>
    <n v="562.6"/>
    <n v="1320"/>
    <n v="2.3462495556345537"/>
    <n v="0.42621212121212121"/>
    <x v="8"/>
  </r>
  <r>
    <x v="8"/>
    <d v="2023-10-01T00:00:00"/>
    <n v="554.88"/>
    <n v="1320"/>
    <n v="2.378892733564014"/>
    <n v="0.42036363636363638"/>
    <x v="8"/>
  </r>
  <r>
    <x v="8"/>
    <d v="2023-11-01T00:00:00"/>
    <n v="548.33000000000004"/>
    <n v="1320"/>
    <n v="2.4073094669268507"/>
    <n v="0.41540151515151519"/>
    <x v="8"/>
  </r>
  <r>
    <x v="8"/>
    <d v="2023-12-01T00:00:00"/>
    <n v="542.29999999999995"/>
    <n v="1320"/>
    <n v="2.4340770791075053"/>
    <n v="0.41083333333333327"/>
    <x v="8"/>
  </r>
  <r>
    <x v="8"/>
    <d v="2024-01-01T00:00:00"/>
    <n v="559.77"/>
    <n v="1412"/>
    <n v="2.5224645836682926"/>
    <n v="0.39643767705382432"/>
    <x v="9"/>
  </r>
  <r>
    <x v="8"/>
    <d v="2024-02-01T00:00:00"/>
    <n v="564.5"/>
    <n v="1412"/>
    <n v="2.5013286093888398"/>
    <n v="0.39978753541076489"/>
    <x v="9"/>
  </r>
  <r>
    <x v="8"/>
    <d v="2024-03-01T00:00:00"/>
    <n v="583.23"/>
    <n v="1412"/>
    <n v="2.4210002914802051"/>
    <n v="0.41305240793201137"/>
    <x v="9"/>
  </r>
  <r>
    <x v="8"/>
    <d v="2024-04-01T00:00:00"/>
    <n v="614.75"/>
    <n v="1412"/>
    <n v="2.2968686457909717"/>
    <n v="0.43537535410764872"/>
    <x v="9"/>
  </r>
  <r>
    <x v="8"/>
    <d v="2024-05-01T00:00:00"/>
    <n v="620.66999999999996"/>
    <n v="1412"/>
    <n v="2.2749609293183175"/>
    <n v="0.43956798866855523"/>
    <x v="9"/>
  </r>
  <r>
    <x v="8"/>
    <d v="2024-06-01T00:00:00"/>
    <n v="597.32000000000005"/>
    <n v="1412"/>
    <n v="2.363892051161856"/>
    <n v="0.42303116147308784"/>
    <x v="9"/>
  </r>
  <r>
    <x v="8"/>
    <d v="2024-07-01T00:00:00"/>
    <n v="572.38"/>
    <n v="1412"/>
    <n v="2.4668926237814039"/>
    <n v="0.40536827195467423"/>
    <x v="9"/>
  </r>
  <r>
    <x v="8"/>
    <d v="2024-08-01T00:00:00"/>
    <n v="548.9"/>
    <n v="1412"/>
    <n v="2.5724175623975225"/>
    <n v="0.38873937677053821"/>
    <x v="9"/>
  </r>
  <r>
    <x v="8"/>
    <d v="2024-09-01T00:00:00"/>
    <n v="552.35"/>
    <n v="1412"/>
    <n v="2.5563501403095863"/>
    <n v="0.39118271954674222"/>
    <x v="9"/>
  </r>
  <r>
    <x v="8"/>
    <d v="2024-10-01T00:00:00"/>
    <n v="566.46"/>
    <n v="1412"/>
    <n v="2.4926737986795184"/>
    <n v="0.40117563739376771"/>
    <x v="9"/>
  </r>
  <r>
    <x v="8"/>
    <d v="2024-11-01T00:00:00"/>
    <n v="590.82000000000005"/>
    <n v="1412"/>
    <n v="2.3898987847398527"/>
    <n v="0.41842776203966009"/>
    <x v="9"/>
  </r>
  <r>
    <x v="8"/>
    <d v="2024-12-01T00:00:00"/>
    <n v="606.91"/>
    <n v="1412"/>
    <n v="2.326539355093836"/>
    <n v="0.42982294617563738"/>
    <x v="9"/>
  </r>
  <r>
    <x v="8"/>
    <d v="2025-01-01T00:00:00"/>
    <n v="618.64"/>
    <n v="1518"/>
    <n v="2.4537695590327169"/>
    <n v="0.40753623188405796"/>
    <x v="10"/>
  </r>
  <r>
    <x v="8"/>
    <d v="2025-02-01T00:00:00"/>
    <n v="634.41"/>
    <n v="1518"/>
    <n v="2.3927743888021942"/>
    <n v="0.41792490118577075"/>
    <x v="10"/>
  </r>
  <r>
    <x v="8"/>
    <d v="2025-03-01T00:00:00"/>
    <n v="626.89"/>
    <n v="1518"/>
    <n v="2.4214774521845936"/>
    <n v="0.41297101449275364"/>
    <x v="10"/>
  </r>
  <r>
    <x v="8"/>
    <d v="2025-04-01T00:00:00"/>
    <n v="641.57000000000005"/>
    <n v="1518"/>
    <n v="2.3660707327337622"/>
    <n v="0.42264163372859026"/>
    <x v="10"/>
  </r>
  <r>
    <x v="8"/>
    <d v="2025-05-01T00:00:00"/>
    <n v="636.73"/>
    <n v="1518"/>
    <n v="2.3840560363105241"/>
    <n v="0.41945322793148881"/>
    <x v="10"/>
  </r>
  <r>
    <x v="8"/>
    <d v="2025-06-01T00:00:00"/>
    <n v="636.16"/>
    <n v="1518"/>
    <n v="2.3861921529175052"/>
    <n v="0.41907773386034253"/>
    <x v="10"/>
  </r>
  <r>
    <x v="9"/>
    <d v="2015-01-01T00:00:00"/>
    <n v="277.56"/>
    <n v="788"/>
    <n v="2.8390257962242398"/>
    <n v="0.35223350253807106"/>
    <x v="0"/>
  </r>
  <r>
    <x v="9"/>
    <d v="2015-02-01T00:00:00"/>
    <n v="289.64999999999998"/>
    <n v="788"/>
    <n v="2.7205247712756777"/>
    <n v="0.36757614213197964"/>
    <x v="0"/>
  </r>
  <r>
    <x v="9"/>
    <d v="2015-03-01T00:00:00"/>
    <n v="289.20999999999998"/>
    <n v="788"/>
    <n v="2.7246637391514819"/>
    <n v="0.36701776649746193"/>
    <x v="0"/>
  </r>
  <r>
    <x v="9"/>
    <d v="2015-04-01T00:00:00"/>
    <n v="300.73"/>
    <n v="788"/>
    <n v="2.6202906261430519"/>
    <n v="0.38163705583756347"/>
    <x v="0"/>
  </r>
  <r>
    <x v="9"/>
    <d v="2015-05-01T00:00:00"/>
    <n v="312.41000000000003"/>
    <n v="788"/>
    <n v="2.5223264300118431"/>
    <n v="0.39645939086294418"/>
    <x v="0"/>
  </r>
  <r>
    <x v="9"/>
    <d v="2015-06-01T00:00:00"/>
    <n v="302.76"/>
    <n v="788"/>
    <n v="2.6027216276919014"/>
    <n v="0.38421319796954312"/>
    <x v="0"/>
  </r>
  <r>
    <x v="9"/>
    <d v="2015-07-01T00:00:00"/>
    <n v="293.58"/>
    <n v="788"/>
    <n v="2.6841065467674912"/>
    <n v="0.37256345177664973"/>
    <x v="0"/>
  </r>
  <r>
    <x v="9"/>
    <d v="2015-08-01T00:00:00"/>
    <n v="286.36"/>
    <n v="788"/>
    <n v="2.7517809749965076"/>
    <n v="0.36340101522842644"/>
    <x v="0"/>
  </r>
  <r>
    <x v="9"/>
    <d v="2015-09-01T00:00:00"/>
    <n v="282.72000000000003"/>
    <n v="788"/>
    <n v="2.7872099603848328"/>
    <n v="0.35878172588832491"/>
    <x v="0"/>
  </r>
  <r>
    <x v="9"/>
    <d v="2015-10-01T00:00:00"/>
    <n v="285.47000000000003"/>
    <n v="788"/>
    <n v="2.7603601078922475"/>
    <n v="0.36227157360406093"/>
    <x v="0"/>
  </r>
  <r>
    <x v="9"/>
    <d v="2015-11-01T00:00:00"/>
    <n v="302.14"/>
    <n v="788"/>
    <n v="2.6080624875885352"/>
    <n v="0.38342639593908628"/>
    <x v="0"/>
  </r>
  <r>
    <x v="9"/>
    <d v="2015-12-01T00:00:00"/>
    <n v="309.92"/>
    <n v="788"/>
    <n v="2.5425916365513679"/>
    <n v="0.39329949238578682"/>
    <x v="0"/>
  </r>
  <r>
    <x v="9"/>
    <d v="2016-01-01T00:00:00"/>
    <n v="329.2"/>
    <n v="880"/>
    <n v="2.6731470230862699"/>
    <n v="0.37409090909090909"/>
    <x v="1"/>
  </r>
  <r>
    <x v="9"/>
    <d v="2016-02-01T00:00:00"/>
    <n v="331.79"/>
    <n v="880"/>
    <n v="2.6522800566623466"/>
    <n v="0.37703409090909096"/>
    <x v="1"/>
  </r>
  <r>
    <x v="9"/>
    <d v="2016-03-01T00:00:00"/>
    <n v="325.98"/>
    <n v="880"/>
    <n v="2.6995521197619485"/>
    <n v="0.3704318181818182"/>
    <x v="1"/>
  </r>
  <r>
    <x v="9"/>
    <d v="2016-04-01T00:00:00"/>
    <n v="334.49"/>
    <n v="880"/>
    <n v="2.6308708780531553"/>
    <n v="0.38010227272727276"/>
    <x v="1"/>
  </r>
  <r>
    <x v="9"/>
    <d v="2016-05-01T00:00:00"/>
    <n v="337.49"/>
    <n v="880"/>
    <n v="2.6074846662123323"/>
    <n v="0.38351136363636362"/>
    <x v="1"/>
  </r>
  <r>
    <x v="9"/>
    <d v="2016-06-01T00:00:00"/>
    <n v="352.12"/>
    <n v="880"/>
    <n v="2.4991480177212315"/>
    <n v="0.40013636363636362"/>
    <x v="1"/>
  </r>
  <r>
    <x v="9"/>
    <d v="2016-07-01T00:00:00"/>
    <n v="362.63"/>
    <n v="880"/>
    <n v="2.4267159363538595"/>
    <n v="0.41207954545454545"/>
    <x v="1"/>
  </r>
  <r>
    <x v="9"/>
    <d v="2016-08-01T00:00:00"/>
    <n v="365.46"/>
    <n v="880"/>
    <n v="2.4079242598369182"/>
    <n v="0.41529545454545452"/>
    <x v="1"/>
  </r>
  <r>
    <x v="9"/>
    <d v="2016-09-01T00:00:00"/>
    <n v="367.54"/>
    <n v="880"/>
    <n v="2.3942972193502747"/>
    <n v="0.41765909090909092"/>
    <x v="1"/>
  </r>
  <r>
    <x v="9"/>
    <d v="2016-10-01T00:00:00"/>
    <n v="366.9"/>
    <n v="880"/>
    <n v="2.3984736985554647"/>
    <n v="0.41693181818181818"/>
    <x v="1"/>
  </r>
  <r>
    <x v="9"/>
    <d v="2016-11-01T00:00:00"/>
    <n v="354.59"/>
    <n v="880"/>
    <n v="2.4817394737584255"/>
    <n v="0.40294318181818178"/>
    <x v="1"/>
  </r>
  <r>
    <x v="9"/>
    <d v="2016-12-01T00:00:00"/>
    <n v="351.96"/>
    <n v="880"/>
    <n v="2.5002841231958177"/>
    <n v="0.39995454545454545"/>
    <x v="1"/>
  </r>
  <r>
    <x v="9"/>
    <d v="2017-01-01T00:00:00"/>
    <n v="349.61"/>
    <n v="937"/>
    <n v="2.6801292869197106"/>
    <n v="0.37311632870864464"/>
    <x v="2"/>
  </r>
  <r>
    <x v="9"/>
    <d v="2017-02-01T00:00:00"/>
    <n v="351.68"/>
    <n v="937"/>
    <n v="2.6643539581437672"/>
    <n v="0.37532550693703309"/>
    <x v="2"/>
  </r>
  <r>
    <x v="9"/>
    <d v="2017-03-01T00:00:00"/>
    <n v="364.12"/>
    <n v="937"/>
    <n v="2.5733274744589694"/>
    <n v="0.38860192102454644"/>
    <x v="2"/>
  </r>
  <r>
    <x v="9"/>
    <d v="2017-04-01T00:00:00"/>
    <n v="368.86"/>
    <n v="937"/>
    <n v="2.5402591769234939"/>
    <n v="0.39366061899679833"/>
    <x v="2"/>
  </r>
  <r>
    <x v="9"/>
    <d v="2017-05-01T00:00:00"/>
    <n v="364.97"/>
    <n v="937"/>
    <n v="2.5673343014494341"/>
    <n v="0.38950907150480257"/>
    <x v="2"/>
  </r>
  <r>
    <x v="9"/>
    <d v="2017-06-01T00:00:00"/>
    <n v="354.32"/>
    <n v="937"/>
    <n v="2.6445021449537141"/>
    <n v="0.3781430096051227"/>
    <x v="2"/>
  </r>
  <r>
    <x v="9"/>
    <d v="2017-07-01T00:00:00"/>
    <n v="358.15"/>
    <n v="937"/>
    <n v="2.616222253245847"/>
    <n v="0.38223052294557097"/>
    <x v="2"/>
  </r>
  <r>
    <x v="9"/>
    <d v="2017-08-01T00:00:00"/>
    <n v="336.12"/>
    <n v="937"/>
    <n v="2.7876948708794478"/>
    <n v="0.35871931696905018"/>
    <x v="2"/>
  </r>
  <r>
    <x v="9"/>
    <d v="2017-09-01T00:00:00"/>
    <n v="323.89999999999998"/>
    <n v="937"/>
    <n v="2.8928681691880214"/>
    <n v="0.34567769477054427"/>
    <x v="2"/>
  </r>
  <r>
    <x v="9"/>
    <d v="2017-10-01T00:00:00"/>
    <n v="325.08999999999997"/>
    <n v="937"/>
    <n v="2.8822787535759331"/>
    <n v="0.34694770544290288"/>
    <x v="2"/>
  </r>
  <r>
    <x v="9"/>
    <d v="2017-11-01T00:00:00"/>
    <n v="328.21"/>
    <n v="937"/>
    <n v="2.8548794978824534"/>
    <n v="0.35027748132337244"/>
    <x v="2"/>
  </r>
  <r>
    <x v="9"/>
    <d v="2017-12-01T00:00:00"/>
    <n v="331.18"/>
    <n v="937"/>
    <n v="2.829277130261489"/>
    <n v="0.35344717182497332"/>
    <x v="2"/>
  </r>
  <r>
    <x v="9"/>
    <d v="2018-01-01T00:00:00"/>
    <n v="360.48"/>
    <n v="954"/>
    <n v="2.6464713715046604"/>
    <n v="0.37786163522012578"/>
    <x v="3"/>
  </r>
  <r>
    <x v="9"/>
    <d v="2018-02-01T00:00:00"/>
    <n v="348.96"/>
    <n v="954"/>
    <n v="2.7338376891334253"/>
    <n v="0.36578616352201254"/>
    <x v="3"/>
  </r>
  <r>
    <x v="9"/>
    <d v="2018-03-01T00:00:00"/>
    <n v="343.26"/>
    <n v="954"/>
    <n v="2.7792343995804929"/>
    <n v="0.35981132075471695"/>
    <x v="3"/>
  </r>
  <r>
    <x v="9"/>
    <d v="2018-04-01T00:00:00"/>
    <n v="337.67"/>
    <n v="954"/>
    <n v="2.8252435810110463"/>
    <n v="0.35395178197064991"/>
    <x v="3"/>
  </r>
  <r>
    <x v="9"/>
    <d v="2018-05-01T00:00:00"/>
    <n v="341.18"/>
    <n v="954"/>
    <n v="2.7961779705727183"/>
    <n v="0.35763102725366874"/>
    <x v="3"/>
  </r>
  <r>
    <x v="9"/>
    <d v="2018-06-01T00:00:00"/>
    <n v="351.11"/>
    <n v="954"/>
    <n v="2.7170972060038165"/>
    <n v="0.36803983228511533"/>
    <x v="3"/>
  </r>
  <r>
    <x v="9"/>
    <d v="2018-07-01T00:00:00"/>
    <n v="341.09"/>
    <n v="954"/>
    <n v="2.79691577003137"/>
    <n v="0.35753668763102725"/>
    <x v="3"/>
  </r>
  <r>
    <x v="9"/>
    <d v="2018-08-01T00:00:00"/>
    <n v="335.61"/>
    <n v="954"/>
    <n v="2.8425851434700991"/>
    <n v="0.35179245283018867"/>
    <x v="3"/>
  </r>
  <r>
    <x v="9"/>
    <d v="2018-09-01T00:00:00"/>
    <n v="330.3"/>
    <n v="954"/>
    <n v="2.888283378746594"/>
    <n v="0.34622641509433966"/>
    <x v="3"/>
  </r>
  <r>
    <x v="9"/>
    <d v="2018-10-01T00:00:00"/>
    <n v="329.9"/>
    <n v="954"/>
    <n v="2.8917853895119734"/>
    <n v="0.34580712788259954"/>
    <x v="3"/>
  </r>
  <r>
    <x v="9"/>
    <d v="2018-11-01T00:00:00"/>
    <n v="332.21"/>
    <n v="954"/>
    <n v="2.871677553354806"/>
    <n v="0.3482285115303983"/>
    <x v="3"/>
  </r>
  <r>
    <x v="9"/>
    <d v="2018-12-01T00:00:00"/>
    <n v="341.4"/>
    <n v="954"/>
    <n v="2.7943760984182777"/>
    <n v="0.35786163522012576"/>
    <x v="3"/>
  </r>
  <r>
    <x v="9"/>
    <d v="2019-01-01T00:00:00"/>
    <n v="351.83"/>
    <n v="998"/>
    <n v="2.8365972202484158"/>
    <n v="0.35253507014028057"/>
    <x v="4"/>
  </r>
  <r>
    <x v="9"/>
    <d v="2019-02-01T00:00:00"/>
    <n v="375.58"/>
    <n v="998"/>
    <n v="2.6572234943287718"/>
    <n v="0.37633266533066129"/>
    <x v="4"/>
  </r>
  <r>
    <x v="9"/>
    <d v="2019-03-01T00:00:00"/>
    <n v="399.01"/>
    <n v="998"/>
    <n v="2.5011904463547281"/>
    <n v="0.39980961923847697"/>
    <x v="4"/>
  </r>
  <r>
    <x v="9"/>
    <d v="2019-04-01T00:00:00"/>
    <n v="410.1"/>
    <n v="998"/>
    <n v="2.4335527920019504"/>
    <n v="0.41092184368737478"/>
    <x v="4"/>
  </r>
  <r>
    <x v="9"/>
    <d v="2019-05-01T00:00:00"/>
    <n v="406.07"/>
    <n v="998"/>
    <n v="2.4577043366907185"/>
    <n v="0.40688376753507011"/>
    <x v="4"/>
  </r>
  <r>
    <x v="9"/>
    <d v="2019-06-01T00:00:00"/>
    <n v="397.24"/>
    <n v="998"/>
    <n v="2.5123351122746955"/>
    <n v="0.3980360721442886"/>
    <x v="4"/>
  </r>
  <r>
    <x v="9"/>
    <d v="2019-07-01T00:00:00"/>
    <n v="381.27"/>
    <n v="998"/>
    <n v="2.6175676030109898"/>
    <n v="0.38203406813627255"/>
    <x v="4"/>
  </r>
  <r>
    <x v="9"/>
    <d v="2019-08-01T00:00:00"/>
    <n v="354.44"/>
    <n v="998"/>
    <n v="2.8157092878907575"/>
    <n v="0.3551503006012024"/>
    <x v="4"/>
  </r>
  <r>
    <x v="9"/>
    <d v="2019-09-01T00:00:00"/>
    <n v="352.57"/>
    <n v="998"/>
    <n v="2.8306435601440851"/>
    <n v="0.35327655310621242"/>
    <x v="4"/>
  </r>
  <r>
    <x v="9"/>
    <d v="2019-10-01T00:00:00"/>
    <n v="341.9"/>
    <n v="998"/>
    <n v="2.9189821585258851"/>
    <n v="0.34258517034068137"/>
    <x v="4"/>
  </r>
  <r>
    <x v="9"/>
    <d v="2019-11-01T00:00:00"/>
    <n v="347.89"/>
    <n v="998"/>
    <n v="2.8687228721722384"/>
    <n v="0.3485871743486974"/>
    <x v="4"/>
  </r>
  <r>
    <x v="9"/>
    <d v="2019-12-01T00:00:00"/>
    <n v="383.76"/>
    <n v="998"/>
    <n v="2.6005836981446739"/>
    <n v="0.38452905811623245"/>
    <x v="4"/>
  </r>
  <r>
    <x v="9"/>
    <d v="2020-01-01T00:00:00"/>
    <n v="389.26"/>
    <n v="1039"/>
    <n v="2.6691671376457897"/>
    <n v="0.37464870067372474"/>
    <x v="5"/>
  </r>
  <r>
    <x v="9"/>
    <d v="2020-02-01T00:00:00"/>
    <n v="405.88"/>
    <n v="1045"/>
    <n v="2.5746526066817781"/>
    <n v="0.38840191387559808"/>
    <x v="5"/>
  </r>
  <r>
    <x v="9"/>
    <d v="2020-03-01T00:00:00"/>
    <n v="426"/>
    <n v="1045"/>
    <n v="2.4530516431924885"/>
    <n v="0.40765550239234449"/>
    <x v="5"/>
  </r>
  <r>
    <x v="9"/>
    <d v="2020-04-01T00:00:00"/>
    <n v="428.28"/>
    <n v="1045"/>
    <n v="2.4399925282525454"/>
    <n v="0.40983732057416267"/>
    <x v="5"/>
  </r>
  <r>
    <x v="9"/>
    <d v="2020-05-01T00:00:00"/>
    <n v="429.57"/>
    <n v="1045"/>
    <n v="2.432665223362898"/>
    <n v="0.4110717703349282"/>
    <x v="5"/>
  </r>
  <r>
    <x v="9"/>
    <d v="2020-06-01T00:00:00"/>
    <n v="442.46"/>
    <n v="1045"/>
    <n v="2.3617954165348283"/>
    <n v="0.42340669856459329"/>
    <x v="5"/>
  </r>
  <r>
    <x v="9"/>
    <d v="2020-07-01T00:00:00"/>
    <n v="430.66"/>
    <n v="1045"/>
    <n v="2.4265081502809638"/>
    <n v="0.41211483253588521"/>
    <x v="5"/>
  </r>
  <r>
    <x v="9"/>
    <d v="2020-08-01T00:00:00"/>
    <n v="419.47"/>
    <n v="1045"/>
    <n v="2.4912389443821965"/>
    <n v="0.40140669856459332"/>
    <x v="5"/>
  </r>
  <r>
    <x v="9"/>
    <d v="2020-09-01T00:00:00"/>
    <n v="422.31"/>
    <n v="1045"/>
    <n v="2.4744855674741304"/>
    <n v="0.40412440191387561"/>
    <x v="5"/>
  </r>
  <r>
    <x v="9"/>
    <d v="2020-10-01T00:00:00"/>
    <n v="436.76"/>
    <n v="1045"/>
    <n v="2.3926183716457552"/>
    <n v="0.41795215311004785"/>
    <x v="5"/>
  </r>
  <r>
    <x v="9"/>
    <d v="2020-11-01T00:00:00"/>
    <n v="455.43"/>
    <n v="1045"/>
    <n v="2.2945348352106798"/>
    <n v="0.43581818181818183"/>
    <x v="5"/>
  </r>
  <r>
    <x v="9"/>
    <d v="2020-12-01T00:00:00"/>
    <n v="458.79"/>
    <n v="1045"/>
    <n v="2.2777305521044484"/>
    <n v="0.43903349282296655"/>
    <x v="5"/>
  </r>
  <r>
    <x v="9"/>
    <d v="2021-01-01T00:00:00"/>
    <n v="454.49"/>
    <n v="1100"/>
    <n v="2.4202952760236749"/>
    <n v="0.4131727272727273"/>
    <x v="6"/>
  </r>
  <r>
    <x v="9"/>
    <d v="2021-02-01T00:00:00"/>
    <n v="464.43"/>
    <n v="1100"/>
    <n v="2.368494713950434"/>
    <n v="0.42220909090909092"/>
    <x v="6"/>
  </r>
  <r>
    <x v="9"/>
    <d v="2021-03-01T00:00:00"/>
    <n v="477.56"/>
    <n v="1100"/>
    <n v="2.303375492084764"/>
    <n v="0.43414545454545456"/>
    <x v="6"/>
  </r>
  <r>
    <x v="9"/>
    <d v="2021-04-01T00:00:00"/>
    <n v="478.23"/>
    <n v="1100"/>
    <n v="2.3001484641281391"/>
    <n v="0.43475454545454545"/>
    <x v="6"/>
  </r>
  <r>
    <x v="9"/>
    <d v="2021-05-01T00:00:00"/>
    <n v="501.7"/>
    <n v="1100"/>
    <n v="2.1925453458241977"/>
    <n v="0.4560909090909091"/>
    <x v="6"/>
  </r>
  <r>
    <x v="9"/>
    <d v="2021-06-01T00:00:00"/>
    <n v="500.2"/>
    <n v="1100"/>
    <n v="2.1991203518592561"/>
    <n v="0.4547272727272727"/>
    <x v="6"/>
  </r>
  <r>
    <x v="9"/>
    <d v="2021-07-01T00:00:00"/>
    <n v="506.51"/>
    <n v="1100"/>
    <n v="2.1717241515468597"/>
    <n v="0.46046363636363635"/>
    <x v="6"/>
  </r>
  <r>
    <x v="9"/>
    <d v="2021-08-01T00:00:00"/>
    <n v="508.04"/>
    <n v="1100"/>
    <n v="2.1651838437918274"/>
    <n v="0.46185454545454546"/>
    <x v="6"/>
  </r>
  <r>
    <x v="9"/>
    <d v="2021-09-01T00:00:00"/>
    <n v="493.29"/>
    <n v="1100"/>
    <n v="2.229925601573111"/>
    <n v="0.44844545454545459"/>
    <x v="6"/>
  </r>
  <r>
    <x v="9"/>
    <d v="2021-10-01T00:00:00"/>
    <n v="504.66"/>
    <n v="1100"/>
    <n v="2.1796853326992429"/>
    <n v="0.45878181818181818"/>
    <x v="6"/>
  </r>
  <r>
    <x v="9"/>
    <d v="2021-11-01T00:00:00"/>
    <n v="521.08000000000004"/>
    <n v="1100"/>
    <n v="2.1110002302909341"/>
    <n v="0.47370909090909097"/>
    <x v="6"/>
  </r>
  <r>
    <x v="9"/>
    <d v="2021-12-01T00:00:00"/>
    <n v="529.54"/>
    <n v="1100"/>
    <n v="2.0772746157041961"/>
    <n v="0.48139999999999999"/>
    <x v="6"/>
  </r>
  <r>
    <x v="9"/>
    <d v="2022-01-01T00:00:00"/>
    <n v="551.05999999999995"/>
    <n v="1212"/>
    <n v="2.1993975247704425"/>
    <n v="0.45466996699669965"/>
    <x v="7"/>
  </r>
  <r>
    <x v="9"/>
    <d v="2022-02-01T00:00:00"/>
    <n v="557.20000000000005"/>
    <n v="1212"/>
    <n v="2.1751615218951899"/>
    <n v="0.45973597359735979"/>
    <x v="7"/>
  </r>
  <r>
    <x v="9"/>
    <d v="2022-03-01T00:00:00"/>
    <n v="575.33000000000004"/>
    <n v="1212"/>
    <n v="2.1066170719413204"/>
    <n v="0.47469471947194725"/>
    <x v="7"/>
  </r>
  <r>
    <x v="9"/>
    <d v="2022-04-01T00:00:00"/>
    <n v="595.37"/>
    <n v="1212"/>
    <n v="2.0357088869106605"/>
    <n v="0.49122937293729374"/>
    <x v="7"/>
  </r>
  <r>
    <x v="9"/>
    <d v="2022-05-01T00:00:00"/>
    <n v="586.41999999999996"/>
    <n v="1212"/>
    <n v="2.0667780771460729"/>
    <n v="0.48384488448844881"/>
    <x v="7"/>
  </r>
  <r>
    <x v="9"/>
    <d v="2022-06-01T00:00:00"/>
    <n v="611.79"/>
    <n v="1212"/>
    <n v="1.9810719364487817"/>
    <n v="0.50477722772277223"/>
    <x v="7"/>
  </r>
  <r>
    <x v="9"/>
    <d v="2022-07-01T00:00:00"/>
    <n v="587.58000000000004"/>
    <n v="1212"/>
    <n v="2.0626978453997751"/>
    <n v="0.48480198019801984"/>
    <x v="7"/>
  </r>
  <r>
    <x v="9"/>
    <d v="2022-08-01T00:00:00"/>
    <n v="580.74"/>
    <n v="1212"/>
    <n v="2.086992457898543"/>
    <n v="0.47915841584158414"/>
    <x v="7"/>
  </r>
  <r>
    <x v="9"/>
    <d v="2022-09-01T00:00:00"/>
    <n v="581.53"/>
    <n v="1212"/>
    <n v="2.084157309167197"/>
    <n v="0.47981023102310227"/>
    <x v="7"/>
  </r>
  <r>
    <x v="9"/>
    <d v="2022-10-01T00:00:00"/>
    <n v="573.4"/>
    <n v="1212"/>
    <n v="2.1137077084059994"/>
    <n v="0.47310231023102306"/>
    <x v="7"/>
  </r>
  <r>
    <x v="9"/>
    <d v="2022-11-01T00:00:00"/>
    <n v="566.95000000000005"/>
    <n v="1212"/>
    <n v="2.1377546520857216"/>
    <n v="0.46778052805280534"/>
    <x v="7"/>
  </r>
  <r>
    <x v="9"/>
    <d v="2022-12-01T00:00:00"/>
    <n v="584.36"/>
    <n v="1212"/>
    <n v="2.074063933191868"/>
    <n v="0.48214521452145215"/>
    <x v="7"/>
  </r>
  <r>
    <x v="9"/>
    <d v="2023-01-01T00:00:00"/>
    <n v="622.16"/>
    <n v="1302"/>
    <n v="2.0927092709270929"/>
    <n v="0.47784946236559139"/>
    <x v="8"/>
  </r>
  <r>
    <x v="9"/>
    <d v="2023-02-01T00:00:00"/>
    <n v="626.15"/>
    <n v="1302"/>
    <n v="2.0793739519284515"/>
    <n v="0.48091397849462364"/>
    <x v="8"/>
  </r>
  <r>
    <x v="9"/>
    <d v="2023-03-01T00:00:00"/>
    <n v="615.03"/>
    <n v="1302"/>
    <n v="2.1169699039071266"/>
    <n v="0.47237327188940093"/>
    <x v="8"/>
  </r>
  <r>
    <x v="9"/>
    <d v="2023-04-01T00:00:00"/>
    <n v="605.94000000000005"/>
    <n v="1302"/>
    <n v="2.1487275967917614"/>
    <n v="0.46539170506912447"/>
    <x v="8"/>
  </r>
  <r>
    <x v="9"/>
    <d v="2023-05-01T00:00:00"/>
    <n v="602.16"/>
    <n v="1320"/>
    <n v="2.1921084097249901"/>
    <n v="0.45618181818181813"/>
    <x v="8"/>
  </r>
  <r>
    <x v="9"/>
    <d v="2023-06-01T00:00:00"/>
    <n v="632.27"/>
    <n v="1320"/>
    <n v="2.0877156910813417"/>
    <n v="0.47899242424242422"/>
    <x v="8"/>
  </r>
  <r>
    <x v="9"/>
    <d v="2023-07-01T00:00:00"/>
    <n v="613.64"/>
    <n v="1320"/>
    <n v="2.1510983638615477"/>
    <n v="0.46487878787878789"/>
    <x v="8"/>
  </r>
  <r>
    <x v="9"/>
    <d v="2023-08-01T00:00:00"/>
    <n v="581.17999999999995"/>
    <n v="1320"/>
    <n v="2.2712412677655807"/>
    <n v="0.44028787878787873"/>
    <x v="8"/>
  </r>
  <r>
    <x v="9"/>
    <d v="2023-09-01T00:00:00"/>
    <n v="598.99"/>
    <n v="1320"/>
    <n v="2.2037095777892786"/>
    <n v="0.45378030303030303"/>
    <x v="8"/>
  </r>
  <r>
    <x v="9"/>
    <d v="2023-10-01T00:00:00"/>
    <n v="582.12"/>
    <n v="1320"/>
    <n v="2.2675736961451247"/>
    <n v="0.441"/>
    <x v="8"/>
  </r>
  <r>
    <x v="9"/>
    <d v="2023-11-01T00:00:00"/>
    <n v="567.29999999999995"/>
    <n v="1320"/>
    <n v="2.3268112109994714"/>
    <n v="0.42977272727272725"/>
    <x v="8"/>
  </r>
  <r>
    <x v="9"/>
    <d v="2023-12-01T00:00:00"/>
    <n v="556.05999999999995"/>
    <n v="1320"/>
    <n v="2.3738445491493727"/>
    <n v="0.42125757575757572"/>
    <x v="8"/>
  </r>
  <r>
    <x v="9"/>
    <d v="2024-01-01T00:00:00"/>
    <n v="575.71"/>
    <n v="1412"/>
    <n v="2.4526237168018619"/>
    <n v="0.40772662889518418"/>
    <x v="9"/>
  </r>
  <r>
    <x v="9"/>
    <d v="2024-02-01T00:00:00"/>
    <n v="579.30999999999995"/>
    <n v="1412"/>
    <n v="2.4373824032038116"/>
    <n v="0.41027620396600561"/>
    <x v="9"/>
  </r>
  <r>
    <x v="9"/>
    <d v="2024-03-01T00:00:00"/>
    <n v="605.33000000000004"/>
    <n v="1412"/>
    <n v="2.3326119637222669"/>
    <n v="0.42870396600566574"/>
    <x v="9"/>
  </r>
  <r>
    <x v="9"/>
    <d v="2024-04-01T00:00:00"/>
    <n v="632.23"/>
    <n v="1412"/>
    <n v="2.2333644401562722"/>
    <n v="0.44775495750708216"/>
    <x v="9"/>
  </r>
  <r>
    <x v="9"/>
    <d v="2024-05-01T00:00:00"/>
    <n v="640.1"/>
    <n v="1412"/>
    <n v="2.2059053272926104"/>
    <n v="0.45332861189801699"/>
    <x v="9"/>
  </r>
  <r>
    <x v="9"/>
    <d v="2024-06-01T00:00:00"/>
    <n v="599.29"/>
    <n v="1412"/>
    <n v="2.3561214103355641"/>
    <n v="0.42442634560906511"/>
    <x v="9"/>
  </r>
  <r>
    <x v="9"/>
    <d v="2024-07-01T00:00:00"/>
    <n v="575.12"/>
    <n v="1412"/>
    <n v="2.4551397969119488"/>
    <n v="0.40730878186968839"/>
    <x v="9"/>
  </r>
  <r>
    <x v="9"/>
    <d v="2024-08-01T00:00:00"/>
    <n v="555.67999999999995"/>
    <n v="1412"/>
    <n v="2.5410308090987619"/>
    <n v="0.39354107648725206"/>
    <x v="9"/>
  </r>
  <r>
    <x v="9"/>
    <d v="2024-09-01T00:00:00"/>
    <n v="554"/>
    <n v="1412"/>
    <n v="2.5487364620938626"/>
    <n v="0.3923512747875354"/>
    <x v="9"/>
  </r>
  <r>
    <x v="9"/>
    <d v="2024-10-01T00:00:00"/>
    <n v="576.23"/>
    <n v="1412"/>
    <n v="2.450410426392239"/>
    <n v="0.40809490084985839"/>
    <x v="9"/>
  </r>
  <r>
    <x v="9"/>
    <d v="2024-11-01T00:00:00"/>
    <n v="593.54"/>
    <n v="1412"/>
    <n v="2.3789466590288777"/>
    <n v="0.42035410764872516"/>
    <x v="9"/>
  </r>
  <r>
    <x v="9"/>
    <d v="2024-12-01T00:00:00"/>
    <n v="617.32000000000005"/>
    <n v="1412"/>
    <n v="2.2873064213049954"/>
    <n v="0.43719546742209636"/>
    <x v="9"/>
  </r>
  <r>
    <x v="9"/>
    <d v="2025-01-01T00:00:00"/>
    <n v="634.11"/>
    <n v="1518"/>
    <n v="2.3939064200217626"/>
    <n v="0.41772727272727272"/>
    <x v="10"/>
  </r>
  <r>
    <x v="9"/>
    <d v="2025-02-01T00:00:00"/>
    <n v="648.58000000000004"/>
    <n v="1518"/>
    <n v="2.3404977026735327"/>
    <n v="0.42725955204216076"/>
    <x v="10"/>
  </r>
  <r>
    <x v="9"/>
    <d v="2025-03-01T00:00:00"/>
    <n v="636.47"/>
    <n v="1518"/>
    <n v="2.385029930711581"/>
    <n v="0.41928194993412388"/>
    <x v="10"/>
  </r>
  <r>
    <x v="9"/>
    <d v="2025-04-01T00:00:00"/>
    <n v="657"/>
    <n v="1518"/>
    <n v="2.310502283105023"/>
    <n v="0.43280632411067194"/>
    <x v="10"/>
  </r>
  <r>
    <x v="9"/>
    <d v="2025-05-01T00:00:00"/>
    <n v="645"/>
    <n v="1518"/>
    <n v="2.3534883720930231"/>
    <n v="0.42490118577075098"/>
    <x v="10"/>
  </r>
  <r>
    <x v="9"/>
    <d v="2025-06-01T00:00:00"/>
    <n v="636.95000000000005"/>
    <n v="1518"/>
    <n v="2.3832325928251823"/>
    <n v="0.41959815546772072"/>
    <x v="10"/>
  </r>
  <r>
    <x v="10"/>
    <d v="2015-01-01T00:00:00"/>
    <n v="361.11"/>
    <n v="788"/>
    <n v="2.1821605604940322"/>
    <n v="0.45826142131979697"/>
    <x v="0"/>
  </r>
  <r>
    <x v="10"/>
    <d v="2015-02-01T00:00:00"/>
    <n v="353.81"/>
    <n v="788"/>
    <n v="2.2271840818518416"/>
    <n v="0.44899746192893403"/>
    <x v="0"/>
  </r>
  <r>
    <x v="10"/>
    <d v="2015-03-01T00:00:00"/>
    <n v="360.01"/>
    <n v="788"/>
    <n v="2.1888280881086639"/>
    <n v="0.45686548223350254"/>
    <x v="0"/>
  </r>
  <r>
    <x v="10"/>
    <d v="2015-04-01T00:00:00"/>
    <n v="368.97"/>
    <n v="788"/>
    <n v="2.1356749871263245"/>
    <n v="0.46823604060913709"/>
    <x v="0"/>
  </r>
  <r>
    <x v="10"/>
    <d v="2015-05-01T00:00:00"/>
    <n v="384.57"/>
    <n v="788"/>
    <n v="2.0490417869308577"/>
    <n v="0.48803299492385788"/>
    <x v="0"/>
  </r>
  <r>
    <x v="10"/>
    <d v="2015-06-01T00:00:00"/>
    <n v="384.13"/>
    <n v="788"/>
    <n v="2.0513888527321482"/>
    <n v="0.48747461928934011"/>
    <x v="0"/>
  </r>
  <r>
    <x v="10"/>
    <d v="2015-07-01T00:00:00"/>
    <n v="383.22"/>
    <n v="788"/>
    <n v="2.056260111685194"/>
    <n v="0.48631979695431476"/>
    <x v="0"/>
  </r>
  <r>
    <x v="10"/>
    <d v="2015-08-01T00:00:00"/>
    <n v="387.83"/>
    <n v="788"/>
    <n v="2.0318180646159401"/>
    <n v="0.49217005076142128"/>
    <x v="0"/>
  </r>
  <r>
    <x v="10"/>
    <d v="2015-09-01T00:00:00"/>
    <n v="385.7"/>
    <n v="788"/>
    <n v="2.0430386310604098"/>
    <n v="0.4894670050761421"/>
    <x v="0"/>
  </r>
  <r>
    <x v="10"/>
    <d v="2015-10-01T00:00:00"/>
    <n v="380.8"/>
    <n v="788"/>
    <n v="2.0693277310924367"/>
    <n v="0.48324873096446702"/>
    <x v="0"/>
  </r>
  <r>
    <x v="10"/>
    <d v="2015-11-01T00:00:00"/>
    <n v="404.62"/>
    <n v="788"/>
    <n v="1.9475063022094805"/>
    <n v="0.51347715736040611"/>
    <x v="0"/>
  </r>
  <r>
    <x v="10"/>
    <d v="2015-12-01T00:00:00"/>
    <n v="418.82"/>
    <n v="788"/>
    <n v="1.8814765292965951"/>
    <n v="0.53149746192893399"/>
    <x v="0"/>
  </r>
  <r>
    <x v="10"/>
    <d v="2016-01-01T00:00:00"/>
    <n v="432.64"/>
    <n v="880"/>
    <n v="2.0340236686390534"/>
    <n v="0.49163636363636359"/>
    <x v="1"/>
  </r>
  <r>
    <x v="10"/>
    <d v="2016-02-01T00:00:00"/>
    <n v="416.82"/>
    <n v="880"/>
    <n v="2.111223069910273"/>
    <n v="0.47365909090909092"/>
    <x v="1"/>
  </r>
  <r>
    <x v="10"/>
    <d v="2016-03-01T00:00:00"/>
    <n v="420.9"/>
    <n v="880"/>
    <n v="2.0907578997386556"/>
    <n v="0.47829545454545452"/>
    <x v="1"/>
  </r>
  <r>
    <x v="10"/>
    <d v="2016-04-01T00:00:00"/>
    <n v="426.93"/>
    <n v="880"/>
    <n v="2.0612278359450027"/>
    <n v="0.48514772727272726"/>
    <x v="1"/>
  </r>
  <r>
    <x v="10"/>
    <d v="2016-05-01T00:00:00"/>
    <n v="443.46"/>
    <n v="880"/>
    <n v="1.9843954358904976"/>
    <n v="0.5039318181818182"/>
    <x v="1"/>
  </r>
  <r>
    <x v="10"/>
    <d v="2016-06-01T00:00:00"/>
    <n v="465.03"/>
    <n v="880"/>
    <n v="1.8923510311162721"/>
    <n v="0.52844318181818184"/>
    <x v="1"/>
  </r>
  <r>
    <x v="10"/>
    <d v="2016-07-01T00:00:00"/>
    <n v="468.78"/>
    <n v="880"/>
    <n v="1.8772131916890653"/>
    <n v="0.53270454545454538"/>
    <x v="1"/>
  </r>
  <r>
    <x v="10"/>
    <d v="2016-08-01T00:00:00"/>
    <n v="474.34"/>
    <n v="880"/>
    <n v="1.8552093435088757"/>
    <n v="0.53902272727272726"/>
    <x v="1"/>
  </r>
  <r>
    <x v="10"/>
    <d v="2016-09-01T00:00:00"/>
    <n v="477.69"/>
    <n v="880"/>
    <n v="1.8421989156147291"/>
    <n v="0.54282954545454543"/>
    <x v="1"/>
  </r>
  <r>
    <x v="10"/>
    <d v="2016-10-01T00:00:00"/>
    <n v="478.07"/>
    <n v="880"/>
    <n v="1.8407346204530717"/>
    <n v="0.54326136363636368"/>
    <x v="1"/>
  </r>
  <r>
    <x v="10"/>
    <d v="2016-11-01T00:00:00"/>
    <n v="469.05"/>
    <n v="880"/>
    <n v="1.8761326084639163"/>
    <n v="0.5330113636363637"/>
    <x v="1"/>
  </r>
  <r>
    <x v="10"/>
    <d v="2016-12-01T00:00:00"/>
    <n v="459.02"/>
    <n v="880"/>
    <n v="1.9171277939959044"/>
    <n v="0.52161363636363633"/>
    <x v="1"/>
  </r>
  <r>
    <x v="10"/>
    <d v="2017-01-01T00:00:00"/>
    <n v="453.67"/>
    <n v="937"/>
    <n v="2.0653779178698173"/>
    <n v="0.48417289220917825"/>
    <x v="2"/>
  </r>
  <r>
    <x v="10"/>
    <d v="2017-02-01T00:00:00"/>
    <n v="435.51"/>
    <n v="937"/>
    <n v="2.151500539597254"/>
    <n v="0.46479188900747065"/>
    <x v="2"/>
  </r>
  <r>
    <x v="10"/>
    <d v="2017-03-01T00:00:00"/>
    <n v="437.22"/>
    <n v="937"/>
    <n v="2.1430858606651113"/>
    <n v="0.46661686232657418"/>
    <x v="2"/>
  </r>
  <r>
    <x v="10"/>
    <d v="2017-04-01T00:00:00"/>
    <n v="464.19"/>
    <n v="937"/>
    <n v="2.018569982119391"/>
    <n v="0.49540021344717183"/>
    <x v="2"/>
  </r>
  <r>
    <x v="10"/>
    <d v="2017-05-01T00:00:00"/>
    <n v="460.65"/>
    <n v="937"/>
    <n v="2.0340822750461305"/>
    <n v="0.49162219850586975"/>
    <x v="2"/>
  </r>
  <r>
    <x v="10"/>
    <d v="2017-06-01T00:00:00"/>
    <n v="443.66"/>
    <n v="937"/>
    <n v="2.111977640535545"/>
    <n v="0.47348986125933834"/>
    <x v="2"/>
  </r>
  <r>
    <x v="10"/>
    <d v="2017-07-01T00:00:00"/>
    <n v="453.56"/>
    <n v="937"/>
    <n v="2.0658788252932356"/>
    <n v="0.48405549626467448"/>
    <x v="2"/>
  </r>
  <r>
    <x v="10"/>
    <d v="2017-08-01T00:00:00"/>
    <n v="445.76"/>
    <n v="937"/>
    <n v="2.1020279971284999"/>
    <n v="0.47573105656350051"/>
    <x v="2"/>
  </r>
  <r>
    <x v="10"/>
    <d v="2017-09-01T00:00:00"/>
    <n v="436.68"/>
    <n v="937"/>
    <n v="2.1457360080608225"/>
    <n v="0.46604055496264674"/>
    <x v="2"/>
  </r>
  <r>
    <x v="10"/>
    <d v="2017-10-01T00:00:00"/>
    <n v="446.87"/>
    <n v="937"/>
    <n v="2.0968066775572316"/>
    <n v="0.47691568836712916"/>
    <x v="2"/>
  </r>
  <r>
    <x v="10"/>
    <d v="2017-11-01T00:00:00"/>
    <n v="444.16"/>
    <n v="937"/>
    <n v="2.109600144092219"/>
    <n v="0.47402347918890075"/>
    <x v="2"/>
  </r>
  <r>
    <x v="10"/>
    <d v="2017-12-01T00:00:00"/>
    <n v="426.74"/>
    <n v="937"/>
    <n v="2.19571636125041"/>
    <n v="0.45543223052294557"/>
    <x v="2"/>
  </r>
  <r>
    <x v="10"/>
    <d v="2018-01-01T00:00:00"/>
    <n v="446.69"/>
    <n v="954"/>
    <n v="2.1357093286171618"/>
    <n v="0.46822851153039829"/>
    <x v="3"/>
  </r>
  <r>
    <x v="10"/>
    <d v="2018-02-01T00:00:00"/>
    <n v="434.5"/>
    <n v="954"/>
    <n v="2.1956271576524742"/>
    <n v="0.45545073375262052"/>
    <x v="3"/>
  </r>
  <r>
    <x v="10"/>
    <d v="2018-03-01T00:00:00"/>
    <n v="434.7"/>
    <n v="954"/>
    <n v="2.1946169772256727"/>
    <n v="0.45566037735849058"/>
    <x v="3"/>
  </r>
  <r>
    <x v="10"/>
    <d v="2018-04-01T00:00:00"/>
    <n v="430.29"/>
    <n v="954"/>
    <n v="2.2171093913407236"/>
    <n v="0.4510377358490566"/>
    <x v="3"/>
  </r>
  <r>
    <x v="10"/>
    <d v="2018-05-01T00:00:00"/>
    <n v="437.73"/>
    <n v="954"/>
    <n v="2.1794256733602904"/>
    <n v="0.45883647798742139"/>
    <x v="3"/>
  </r>
  <r>
    <x v="10"/>
    <d v="2018-06-01T00:00:00"/>
    <n v="452.81"/>
    <n v="954"/>
    <n v="2.1068439301252182"/>
    <n v="0.47464360587002097"/>
    <x v="3"/>
  </r>
  <r>
    <x v="10"/>
    <d v="2018-07-01T00:00:00"/>
    <n v="435.02"/>
    <n v="954"/>
    <n v="2.1930026205691693"/>
    <n v="0.45599580712788257"/>
    <x v="3"/>
  </r>
  <r>
    <x v="10"/>
    <d v="2018-08-01T00:00:00"/>
    <n v="419.81"/>
    <n v="954"/>
    <n v="2.2724565875038709"/>
    <n v="0.44005241090146752"/>
    <x v="3"/>
  </r>
  <r>
    <x v="10"/>
    <d v="2018-09-01T00:00:00"/>
    <n v="423.01"/>
    <n v="954"/>
    <n v="2.2552658329590316"/>
    <n v="0.44340670859538783"/>
    <x v="3"/>
  </r>
  <r>
    <x v="10"/>
    <d v="2018-10-01T00:00:00"/>
    <n v="449.89"/>
    <n v="954"/>
    <n v="2.1205183489297386"/>
    <n v="0.47158280922431867"/>
    <x v="3"/>
  </r>
  <r>
    <x v="10"/>
    <d v="2018-11-01T00:00:00"/>
    <n v="463.09"/>
    <n v="954"/>
    <n v="2.0600747154980676"/>
    <n v="0.48541928721173999"/>
    <x v="3"/>
  </r>
  <r>
    <x v="10"/>
    <d v="2018-12-01T00:00:00"/>
    <n v="464.72"/>
    <n v="954"/>
    <n v="2.05284902737132"/>
    <n v="0.48712788259958073"/>
    <x v="3"/>
  </r>
  <r>
    <x v="10"/>
    <d v="2019-01-01T00:00:00"/>
    <n v="441.65"/>
    <n v="998"/>
    <n v="2.25970791350617"/>
    <n v="0.44253507014028054"/>
    <x v="4"/>
  </r>
  <r>
    <x v="10"/>
    <d v="2019-02-01T00:00:00"/>
    <n v="449.95"/>
    <n v="998"/>
    <n v="2.2180242249138793"/>
    <n v="0.45085170340681363"/>
    <x v="4"/>
  </r>
  <r>
    <x v="10"/>
    <d v="2019-03-01T00:00:00"/>
    <n v="479.53"/>
    <n v="998"/>
    <n v="2.0812045127520697"/>
    <n v="0.48049098196392781"/>
    <x v="4"/>
  </r>
  <r>
    <x v="10"/>
    <d v="2019-04-01T00:00:00"/>
    <n v="499.38"/>
    <n v="998"/>
    <n v="1.9984781128599463"/>
    <n v="0.50038076152304611"/>
    <x v="4"/>
  </r>
  <r>
    <x v="10"/>
    <d v="2019-05-01T00:00:00"/>
    <n v="496.13"/>
    <n v="998"/>
    <n v="2.0115695483038718"/>
    <n v="0.49712424849699399"/>
    <x v="4"/>
  </r>
  <r>
    <x v="10"/>
    <d v="2019-06-01T00:00:00"/>
    <n v="498.41"/>
    <n v="998"/>
    <n v="2.0023675287413973"/>
    <n v="0.49940881763527056"/>
    <x v="4"/>
  </r>
  <r>
    <x v="10"/>
    <d v="2019-07-01T00:00:00"/>
    <n v="493.22"/>
    <n v="998"/>
    <n v="2.0234378167957501"/>
    <n v="0.49420841683366734"/>
    <x v="4"/>
  </r>
  <r>
    <x v="10"/>
    <d v="2019-08-01T00:00:00"/>
    <n v="469.17"/>
    <n v="998"/>
    <n v="2.1271607306520024"/>
    <n v="0.4701102204408818"/>
    <x v="4"/>
  </r>
  <r>
    <x v="10"/>
    <d v="2019-09-01T00:00:00"/>
    <n v="458.29"/>
    <n v="998"/>
    <n v="2.177660433350062"/>
    <n v="0.45920841683366737"/>
    <x v="4"/>
  </r>
  <r>
    <x v="10"/>
    <d v="2019-10-01T00:00:00"/>
    <n v="463.24"/>
    <n v="998"/>
    <n v="2.1543908125377773"/>
    <n v="0.46416833667334673"/>
    <x v="4"/>
  </r>
  <r>
    <x v="10"/>
    <d v="2019-11-01T00:00:00"/>
    <n v="453.82"/>
    <n v="998"/>
    <n v="2.1991097792076153"/>
    <n v="0.45472945891783567"/>
    <x v="4"/>
  </r>
  <r>
    <x v="10"/>
    <d v="2019-12-01T00:00:00"/>
    <n v="506.3"/>
    <n v="998"/>
    <n v="1.9711633418921588"/>
    <n v="0.507314629258517"/>
    <x v="4"/>
  </r>
  <r>
    <x v="10"/>
    <d v="2020-01-01T00:00:00"/>
    <n v="502.98"/>
    <n v="1039"/>
    <n v="2.0656884965604991"/>
    <n v="0.48410009624639078"/>
    <x v="5"/>
  </r>
  <r>
    <x v="10"/>
    <d v="2020-02-01T00:00:00"/>
    <n v="492.83"/>
    <n v="1045"/>
    <n v="2.1204066310898284"/>
    <n v="0.47160765550239231"/>
    <x v="5"/>
  </r>
  <r>
    <x v="10"/>
    <d v="2020-03-01T00:00:00"/>
    <n v="497.88"/>
    <n v="1045"/>
    <n v="2.098899333172652"/>
    <n v="0.47644019138755983"/>
    <x v="5"/>
  </r>
  <r>
    <x v="10"/>
    <d v="2020-04-01T00:00:00"/>
    <n v="527.01"/>
    <n v="1045"/>
    <n v="1.9828845752452515"/>
    <n v="0.50431578947368416"/>
    <x v="5"/>
  </r>
  <r>
    <x v="10"/>
    <d v="2020-05-01T00:00:00"/>
    <n v="518.63"/>
    <n v="1045"/>
    <n v="2.0149239342112875"/>
    <n v="0.49629665071770335"/>
    <x v="5"/>
  </r>
  <r>
    <x v="10"/>
    <d v="2020-06-01T00:00:00"/>
    <n v="512.4"/>
    <n v="1045"/>
    <n v="2.0394223263075721"/>
    <n v="0.49033492822966507"/>
    <x v="5"/>
  </r>
  <r>
    <x v="10"/>
    <d v="2020-07-01T00:00:00"/>
    <n v="511.22"/>
    <n v="1045"/>
    <n v="2.0441297288838465"/>
    <n v="0.48920574162679431"/>
    <x v="5"/>
  </r>
  <r>
    <x v="10"/>
    <d v="2020-08-01T00:00:00"/>
    <n v="528.61"/>
    <n v="1045"/>
    <n v="1.976882768014226"/>
    <n v="0.5058468899521531"/>
    <x v="5"/>
  </r>
  <r>
    <x v="10"/>
    <d v="2020-09-01T00:00:00"/>
    <n v="552.86"/>
    <n v="1045"/>
    <n v="1.8901711102268204"/>
    <n v="0.52905263157894733"/>
    <x v="5"/>
  </r>
  <r>
    <x v="10"/>
    <d v="2020-10-01T00:00:00"/>
    <n v="581.39"/>
    <n v="1045"/>
    <n v="1.7974165362321335"/>
    <n v="0.55635406698564593"/>
    <x v="5"/>
  </r>
  <r>
    <x v="10"/>
    <d v="2020-11-01T00:00:00"/>
    <n v="617.03"/>
    <n v="1045"/>
    <n v="1.6935967457011816"/>
    <n v="0.59045933014354068"/>
    <x v="5"/>
  </r>
  <r>
    <x v="10"/>
    <d v="2020-12-01T00:00:00"/>
    <n v="615.66"/>
    <n v="1045"/>
    <n v="1.6973654289705358"/>
    <n v="0.58914832535885164"/>
    <x v="5"/>
  </r>
  <r>
    <x v="10"/>
    <d v="2021-01-01T00:00:00"/>
    <n v="626.25"/>
    <n v="1100"/>
    <n v="1.7564870259481038"/>
    <n v="0.56931818181818183"/>
    <x v="6"/>
  </r>
  <r>
    <x v="10"/>
    <d v="2021-02-01T00:00:00"/>
    <n v="632.66999999999996"/>
    <n v="1100"/>
    <n v="1.7386631261163008"/>
    <n v="0.57515454545454536"/>
    <x v="6"/>
  </r>
  <r>
    <x v="10"/>
    <d v="2021-03-01T00:00:00"/>
    <n v="623.37"/>
    <n v="1100"/>
    <n v="1.7646020822304571"/>
    <n v="0.56669999999999998"/>
    <x v="6"/>
  </r>
  <r>
    <x v="10"/>
    <d v="2021-04-01T00:00:00"/>
    <n v="626.11"/>
    <n v="1100"/>
    <n v="1.7568797815080417"/>
    <n v="0.56919090909090908"/>
    <x v="6"/>
  </r>
  <r>
    <x v="10"/>
    <d v="2021-05-01T00:00:00"/>
    <n v="636.96"/>
    <n v="1100"/>
    <n v="1.7269530268776689"/>
    <n v="0.57905454545454549"/>
    <x v="6"/>
  </r>
  <r>
    <x v="10"/>
    <d v="2021-06-01T00:00:00"/>
    <n v="642.30999999999995"/>
    <n v="1100"/>
    <n v="1.7125686973579737"/>
    <n v="0.58391818181818178"/>
    <x v="6"/>
  </r>
  <r>
    <x v="10"/>
    <d v="2021-07-01T00:00:00"/>
    <n v="656.92"/>
    <n v="1100"/>
    <n v="1.6744809109176158"/>
    <n v="0.59719999999999995"/>
    <x v="6"/>
  </r>
  <r>
    <x v="10"/>
    <d v="2021-08-01T00:00:00"/>
    <n v="664.67"/>
    <n v="1100"/>
    <n v="1.6549565950020313"/>
    <n v="0.60424545454545453"/>
    <x v="6"/>
  </r>
  <r>
    <x v="10"/>
    <d v="2021-09-01T00:00:00"/>
    <n v="672.39"/>
    <n v="1100"/>
    <n v="1.6359553235473461"/>
    <n v="0.61126363636363634"/>
    <x v="6"/>
  </r>
  <r>
    <x v="10"/>
    <d v="2021-10-01T00:00:00"/>
    <n v="691.08"/>
    <n v="1100"/>
    <n v="1.5917115239914337"/>
    <n v="0.62825454545454551"/>
    <x v="6"/>
  </r>
  <r>
    <x v="10"/>
    <d v="2021-11-01T00:00:00"/>
    <n v="685.32"/>
    <n v="1100"/>
    <n v="1.6050895931827467"/>
    <n v="0.62301818181818192"/>
    <x v="6"/>
  </r>
  <r>
    <x v="10"/>
    <d v="2021-12-01T00:00:00"/>
    <n v="682.9"/>
    <n v="1100"/>
    <n v="1.6107775662615318"/>
    <n v="0.62081818181818182"/>
    <x v="6"/>
  </r>
  <r>
    <x v="10"/>
    <d v="2022-01-01T00:00:00"/>
    <n v="673"/>
    <n v="1212"/>
    <n v="1.8008915304606241"/>
    <n v="0.55528052805280526"/>
    <x v="7"/>
  </r>
  <r>
    <x v="10"/>
    <d v="2022-02-01T00:00:00"/>
    <n v="695.91"/>
    <n v="1212"/>
    <n v="1.741604517825581"/>
    <n v="0.57418316831683169"/>
    <x v="7"/>
  </r>
  <r>
    <x v="10"/>
    <d v="2022-03-01T00:00:00"/>
    <n v="734.28"/>
    <n v="1212"/>
    <n v="1.650596502696519"/>
    <n v="0.60584158415841582"/>
    <x v="7"/>
  </r>
  <r>
    <x v="10"/>
    <d v="2022-04-01T00:00:00"/>
    <n v="780.86"/>
    <n v="1212"/>
    <n v="1.5521348257049918"/>
    <n v="0.64427392739273925"/>
    <x v="7"/>
  </r>
  <r>
    <x v="10"/>
    <d v="2022-05-01T00:00:00"/>
    <n v="768.76"/>
    <n v="1212"/>
    <n v="1.5765648576929081"/>
    <n v="0.63429042904290434"/>
    <x v="7"/>
  </r>
  <r>
    <x v="10"/>
    <d v="2022-06-01T00:00:00"/>
    <n v="754.19"/>
    <n v="1212"/>
    <n v="1.6070221031835479"/>
    <n v="0.62226897689768979"/>
    <x v="7"/>
  </r>
  <r>
    <x v="10"/>
    <d v="2022-07-01T00:00:00"/>
    <n v="752.84"/>
    <n v="1212"/>
    <n v="1.6099038308272673"/>
    <n v="0.62115511551155123"/>
    <x v="7"/>
  </r>
  <r>
    <x v="10"/>
    <d v="2022-08-01T00:00:00"/>
    <n v="748.06"/>
    <n v="1212"/>
    <n v="1.6201908937785741"/>
    <n v="0.61721122112211213"/>
    <x v="7"/>
  </r>
  <r>
    <x v="10"/>
    <d v="2022-09-01T00:00:00"/>
    <n v="743.94"/>
    <n v="1212"/>
    <n v="1.629163642229212"/>
    <n v="0.6138118811881188"/>
    <x v="7"/>
  </r>
  <r>
    <x v="10"/>
    <d v="2022-10-01T00:00:00"/>
    <n v="768.82"/>
    <n v="1212"/>
    <n v="1.5764418199318435"/>
    <n v="0.63433993399339939"/>
    <x v="7"/>
  </r>
  <r>
    <x v="10"/>
    <d v="2022-11-01T00:00:00"/>
    <n v="781.52"/>
    <n v="1212"/>
    <n v="1.5508240352134304"/>
    <n v="0.6448184818481848"/>
    <x v="7"/>
  </r>
  <r>
    <x v="10"/>
    <d v="2022-12-01T00:00:00"/>
    <n v="765.63"/>
    <n v="1212"/>
    <n v="1.5830100701383174"/>
    <n v="0.63170792079207916"/>
    <x v="7"/>
  </r>
  <r>
    <x v="10"/>
    <d v="2023-01-01T00:00:00"/>
    <n v="757.33"/>
    <n v="1302"/>
    <n v="1.7191977077363896"/>
    <n v="0.58166666666666667"/>
    <x v="8"/>
  </r>
  <r>
    <x v="10"/>
    <d v="2023-02-01T00:00:00"/>
    <n v="741.3"/>
    <n v="1302"/>
    <n v="1.756373937677054"/>
    <n v="0.5693548387096774"/>
    <x v="8"/>
  </r>
  <r>
    <x v="10"/>
    <d v="2023-03-01T00:00:00"/>
    <n v="746.12"/>
    <n v="1302"/>
    <n v="1.7450276094998123"/>
    <n v="0.57305683563748078"/>
    <x v="8"/>
  </r>
  <r>
    <x v="10"/>
    <d v="2023-04-01T00:00:00"/>
    <n v="783.55"/>
    <n v="1302"/>
    <n v="1.6616680492629698"/>
    <n v="0.60180491551459292"/>
    <x v="8"/>
  </r>
  <r>
    <x v="10"/>
    <d v="2023-05-01T00:00:00"/>
    <n v="781.56"/>
    <n v="1320"/>
    <n v="1.6889298326424076"/>
    <n v="0.592090909090909"/>
    <x v="8"/>
  </r>
  <r>
    <x v="10"/>
    <d v="2023-06-01T00:00:00"/>
    <n v="773.56"/>
    <n v="1320"/>
    <n v="1.7063964010548633"/>
    <n v="0.58603030303030301"/>
    <x v="8"/>
  </r>
  <r>
    <x v="10"/>
    <d v="2023-07-01T00:00:00"/>
    <n v="777.16"/>
    <n v="1320"/>
    <n v="1.6984919450306244"/>
    <n v="0.5887575757575757"/>
    <x v="8"/>
  </r>
  <r>
    <x v="10"/>
    <d v="2023-08-01T00:00:00"/>
    <n v="760.59"/>
    <n v="1320"/>
    <n v="1.7354948132370922"/>
    <n v="0.57620454545454547"/>
    <x v="8"/>
  </r>
  <r>
    <x v="10"/>
    <d v="2023-09-01T00:00:00"/>
    <n v="741.71"/>
    <n v="1320"/>
    <n v="1.779671300103814"/>
    <n v="0.56190151515151521"/>
    <x v="8"/>
  </r>
  <r>
    <x v="10"/>
    <d v="2023-10-01T00:00:00"/>
    <n v="739.21"/>
    <n v="1320"/>
    <n v="1.7856901286508569"/>
    <n v="0.56000757575757576"/>
    <x v="8"/>
  </r>
  <r>
    <x v="10"/>
    <d v="2023-11-01T00:00:00"/>
    <n v="739.18"/>
    <n v="1320"/>
    <n v="1.785762601801997"/>
    <n v="0.55998484848484842"/>
    <x v="8"/>
  </r>
  <r>
    <x v="10"/>
    <d v="2023-12-01T00:00:00"/>
    <n v="766.53"/>
    <n v="1320"/>
    <n v="1.72204610387069"/>
    <n v="0.58070454545454542"/>
    <x v="8"/>
  </r>
  <r>
    <x v="10"/>
    <d v="2024-01-01T00:00:00"/>
    <n v="791.16"/>
    <n v="1412"/>
    <n v="1.7847211689165277"/>
    <n v="0.5603116147308782"/>
    <x v="9"/>
  </r>
  <r>
    <x v="10"/>
    <d v="2024-02-01T00:00:00"/>
    <n v="796.81"/>
    <n v="1412"/>
    <n v="1.7720661136280922"/>
    <n v="0.56431303116147302"/>
    <x v="9"/>
  </r>
  <r>
    <x v="10"/>
    <d v="2024-03-01T00:00:00"/>
    <n v="777.43"/>
    <n v="1412"/>
    <n v="1.816240690480172"/>
    <n v="0.55058781869688378"/>
    <x v="9"/>
  </r>
  <r>
    <x v="10"/>
    <d v="2024-04-01T00:00:00"/>
    <n v="775.63"/>
    <n v="1412"/>
    <n v="1.8204556296172143"/>
    <n v="0.54931303116147312"/>
    <x v="9"/>
  </r>
  <r>
    <x v="10"/>
    <d v="2024-05-01T00:00:00"/>
    <n v="801.45"/>
    <n v="1412"/>
    <n v="1.7618067253103749"/>
    <n v="0.56759915014164308"/>
    <x v="9"/>
  </r>
  <r>
    <x v="10"/>
    <d v="2024-06-01T00:00:00"/>
    <n v="804.86"/>
    <n v="1412"/>
    <n v="1.7543423701016325"/>
    <n v="0.57001416430594898"/>
    <x v="9"/>
  </r>
  <r>
    <x v="10"/>
    <d v="2024-07-01T00:00:00"/>
    <n v="769.96"/>
    <n v="1412"/>
    <n v="1.8338614992986648"/>
    <n v="0.54529745042492916"/>
    <x v="9"/>
  </r>
  <r>
    <x v="10"/>
    <d v="2024-08-01T00:00:00"/>
    <n v="740.82"/>
    <n v="1412"/>
    <n v="1.9059960584217488"/>
    <n v="0.52466005665722382"/>
    <x v="9"/>
  </r>
  <r>
    <x v="10"/>
    <d v="2024-09-01T00:00:00"/>
    <n v="756.17"/>
    <n v="1412"/>
    <n v="1.8673049711043814"/>
    <n v="0.53553116147308777"/>
    <x v="9"/>
  </r>
  <r>
    <x v="10"/>
    <d v="2024-10-01T00:00:00"/>
    <n v="774.32"/>
    <n v="1412"/>
    <n v="1.8235354892034299"/>
    <n v="0.54838526912181307"/>
    <x v="9"/>
  </r>
  <r>
    <x v="10"/>
    <d v="2024-11-01T00:00:00"/>
    <n v="780.71"/>
    <n v="1412"/>
    <n v="1.8086101113089366"/>
    <n v="0.55291076487252122"/>
    <x v="9"/>
  </r>
  <r>
    <x v="10"/>
    <d v="2024-12-01T00:00:00"/>
    <n v="783.72"/>
    <n v="1412"/>
    <n v="1.801663859541673"/>
    <n v="0.55504249291784702"/>
    <x v="9"/>
  </r>
  <r>
    <x v="10"/>
    <d v="2025-01-01T00:00:00"/>
    <n v="770.63"/>
    <n v="1518"/>
    <n v="1.9698169030533459"/>
    <n v="0.50766139657444009"/>
    <x v="10"/>
  </r>
  <r>
    <x v="10"/>
    <d v="2025-02-01T00:00:00"/>
    <n v="769.74"/>
    <n v="1518"/>
    <n v="1.9720944734585704"/>
    <n v="0.5070750988142293"/>
    <x v="10"/>
  </r>
  <r>
    <x v="10"/>
    <d v="2025-03-01T00:00:00"/>
    <n v="791.64"/>
    <n v="1518"/>
    <n v="1.9175382749734728"/>
    <n v="0.52150197628458494"/>
    <x v="10"/>
  </r>
  <r>
    <x v="10"/>
    <d v="2025-04-01T00:00:00"/>
    <n v="834.22"/>
    <n v="1518"/>
    <n v="1.8196638776341971"/>
    <n v="0.54955204216073783"/>
    <x v="10"/>
  </r>
  <r>
    <x v="10"/>
    <d v="2025-05-01T00:00:00"/>
    <n v="819.05"/>
    <n v="1518"/>
    <n v="1.853366705329345"/>
    <n v="0.53955862977602109"/>
    <x v="10"/>
  </r>
  <r>
    <x v="10"/>
    <d v="2025-06-01T00:00:00"/>
    <n v="831.37"/>
    <n v="1518"/>
    <n v="1.8259018246989909"/>
    <n v="0.54767457180500656"/>
    <x v="10"/>
  </r>
  <r>
    <x v="11"/>
    <d v="2015-01-01T00:00:00"/>
    <n v="290.43"/>
    <n v="788"/>
    <n v="2.7132183314395895"/>
    <n v="0.36856598984771577"/>
    <x v="0"/>
  </r>
  <r>
    <x v="11"/>
    <d v="2015-02-01T00:00:00"/>
    <n v="294.93"/>
    <n v="788"/>
    <n v="2.6718204319669074"/>
    <n v="0.3742766497461929"/>
    <x v="0"/>
  </r>
  <r>
    <x v="11"/>
    <d v="2015-03-01T00:00:00"/>
    <n v="298.60000000000002"/>
    <n v="788"/>
    <n v="2.6389819156061618"/>
    <n v="0.37893401015228428"/>
    <x v="0"/>
  </r>
  <r>
    <x v="11"/>
    <d v="2015-04-01T00:00:00"/>
    <n v="307.45999999999998"/>
    <n v="788"/>
    <n v="2.5629350159370325"/>
    <n v="0.39017766497461925"/>
    <x v="0"/>
  </r>
  <r>
    <x v="11"/>
    <d v="2015-05-01T00:00:00"/>
    <n v="331.23"/>
    <n v="788"/>
    <n v="2.3790115629622921"/>
    <n v="0.42034263959390866"/>
    <x v="0"/>
  </r>
  <r>
    <x v="11"/>
    <d v="2015-06-01T00:00:00"/>
    <n v="318.52999999999997"/>
    <n v="788"/>
    <n v="2.4738643141933259"/>
    <n v="0.40422588832487305"/>
    <x v="0"/>
  </r>
  <r>
    <x v="11"/>
    <d v="2015-07-01T00:00:00"/>
    <n v="309.38"/>
    <n v="788"/>
    <n v="2.5470295429568814"/>
    <n v="0.39261421319796952"/>
    <x v="0"/>
  </r>
  <r>
    <x v="11"/>
    <d v="2015-08-01T00:00:00"/>
    <n v="309.42"/>
    <n v="788"/>
    <n v="2.5467002779393701"/>
    <n v="0.39266497461928934"/>
    <x v="0"/>
  </r>
  <r>
    <x v="11"/>
    <d v="2015-09-01T00:00:00"/>
    <n v="298.58"/>
    <n v="788"/>
    <n v="2.6391586844396815"/>
    <n v="0.37890862944162435"/>
    <x v="0"/>
  </r>
  <r>
    <x v="11"/>
    <d v="2015-10-01T00:00:00"/>
    <n v="297.77999999999997"/>
    <n v="788"/>
    <n v="2.6462489085902345"/>
    <n v="0.37789340101522839"/>
    <x v="0"/>
  </r>
  <r>
    <x v="11"/>
    <d v="2015-11-01T00:00:00"/>
    <n v="323.14999999999998"/>
    <n v="788"/>
    <n v="2.4384960544638714"/>
    <n v="0.4100888324873096"/>
    <x v="0"/>
  </r>
  <r>
    <x v="11"/>
    <d v="2015-12-01T00:00:00"/>
    <n v="327.82"/>
    <n v="788"/>
    <n v="2.4037581599658351"/>
    <n v="0.41601522842639593"/>
    <x v="0"/>
  </r>
  <r>
    <x v="11"/>
    <d v="2016-01-01T00:00:00"/>
    <n v="344.47"/>
    <n v="880"/>
    <n v="2.5546491711905244"/>
    <n v="0.39144318181818183"/>
    <x v="1"/>
  </r>
  <r>
    <x v="11"/>
    <d v="2016-02-01T00:00:00"/>
    <n v="349.96"/>
    <n v="880"/>
    <n v="2.5145730940678934"/>
    <n v="0.39768181818181814"/>
    <x v="1"/>
  </r>
  <r>
    <x v="11"/>
    <d v="2016-03-01T00:00:00"/>
    <n v="347.21"/>
    <n v="880"/>
    <n v="2.5344892140203337"/>
    <n v="0.39455681818181815"/>
    <x v="1"/>
  </r>
  <r>
    <x v="11"/>
    <d v="2016-04-01T00:00:00"/>
    <n v="358.55"/>
    <n v="880"/>
    <n v="2.4543299400362573"/>
    <n v="0.40744318181818184"/>
    <x v="1"/>
  </r>
  <r>
    <x v="11"/>
    <d v="2016-05-01T00:00:00"/>
    <n v="353.78"/>
    <n v="880"/>
    <n v="2.4874215614223529"/>
    <n v="0.40202272727272725"/>
    <x v="1"/>
  </r>
  <r>
    <x v="11"/>
    <d v="2016-06-01T00:00:00"/>
    <n v="365.79"/>
    <n v="880"/>
    <n v="2.4057519341698788"/>
    <n v="0.41567045454545459"/>
    <x v="1"/>
  </r>
  <r>
    <x v="11"/>
    <d v="2016-07-01T00:00:00"/>
    <n v="374.54"/>
    <n v="880"/>
    <n v="2.3495487798365993"/>
    <n v="0.42561363636363636"/>
    <x v="1"/>
  </r>
  <r>
    <x v="11"/>
    <d v="2016-08-01T00:00:00"/>
    <n v="371.6"/>
    <n v="880"/>
    <n v="2.3681377825618943"/>
    <n v="0.4222727272727273"/>
    <x v="1"/>
  </r>
  <r>
    <x v="11"/>
    <d v="2016-09-01T00:00:00"/>
    <n v="375.55"/>
    <n v="880"/>
    <n v="2.3432299294368257"/>
    <n v="0.42676136363636363"/>
    <x v="1"/>
  </r>
  <r>
    <x v="11"/>
    <d v="2016-10-01T00:00:00"/>
    <n v="373.66"/>
    <n v="880"/>
    <n v="2.3550821602526359"/>
    <n v="0.42461363636363642"/>
    <x v="1"/>
  </r>
  <r>
    <x v="11"/>
    <d v="2016-11-01T00:00:00"/>
    <n v="353.08"/>
    <n v="880"/>
    <n v="2.4923530078169254"/>
    <n v="0.40122727272727271"/>
    <x v="1"/>
  </r>
  <r>
    <x v="11"/>
    <d v="2016-12-01T00:00:00"/>
    <n v="347.96"/>
    <n v="880"/>
    <n v="2.529026324864927"/>
    <n v="0.39540909090909088"/>
    <x v="1"/>
  </r>
  <r>
    <x v="11"/>
    <d v="2017-01-01T00:00:00"/>
    <n v="346.44"/>
    <n v="937"/>
    <n v="2.70465304237386"/>
    <n v="0.36973319103521879"/>
    <x v="2"/>
  </r>
  <r>
    <x v="11"/>
    <d v="2017-02-01T00:00:00"/>
    <n v="344.06"/>
    <n v="937"/>
    <n v="2.7233622042666976"/>
    <n v="0.36719316969050159"/>
    <x v="2"/>
  </r>
  <r>
    <x v="11"/>
    <d v="2017-03-01T00:00:00"/>
    <n v="356.21"/>
    <n v="937"/>
    <n v="2.6304707897027035"/>
    <n v="0.3801600853788687"/>
    <x v="2"/>
  </r>
  <r>
    <x v="11"/>
    <d v="2017-04-01T00:00:00"/>
    <n v="368.74"/>
    <n v="937"/>
    <n v="2.5410858599555239"/>
    <n v="0.3935325506937033"/>
    <x v="2"/>
  </r>
  <r>
    <x v="11"/>
    <d v="2017-05-01T00:00:00"/>
    <n v="379.39"/>
    <n v="937"/>
    <n v="2.4697540789161549"/>
    <n v="0.40489861259338311"/>
    <x v="2"/>
  </r>
  <r>
    <x v="11"/>
    <d v="2017-06-01T00:00:00"/>
    <n v="373.84"/>
    <n v="937"/>
    <n v="2.5064198587631075"/>
    <n v="0.39897545357524011"/>
    <x v="2"/>
  </r>
  <r>
    <x v="11"/>
    <d v="2017-07-01T00:00:00"/>
    <n v="361.65"/>
    <n v="937"/>
    <n v="2.5909028065809485"/>
    <n v="0.38596584845250798"/>
    <x v="2"/>
  </r>
  <r>
    <x v="11"/>
    <d v="2017-08-01T00:00:00"/>
    <n v="340.54"/>
    <n v="937"/>
    <n v="2.7515123039877838"/>
    <n v="0.36343649946638207"/>
    <x v="2"/>
  </r>
  <r>
    <x v="11"/>
    <d v="2017-09-01T00:00:00"/>
    <n v="328.63"/>
    <n v="937"/>
    <n v="2.8512308675410036"/>
    <n v="0.35072572038420491"/>
    <x v="2"/>
  </r>
  <r>
    <x v="11"/>
    <d v="2017-10-01T00:00:00"/>
    <n v="325.95999999999998"/>
    <n v="937"/>
    <n v="2.8745858387532213"/>
    <n v="0.34787620064034147"/>
    <x v="2"/>
  </r>
  <r>
    <x v="11"/>
    <d v="2017-11-01T00:00:00"/>
    <n v="327.85"/>
    <n v="937"/>
    <n v="2.8580143358243095"/>
    <n v="0.34989327641408752"/>
    <x v="2"/>
  </r>
  <r>
    <x v="11"/>
    <d v="2017-12-01T00:00:00"/>
    <n v="332.15"/>
    <n v="937"/>
    <n v="2.8210146018365196"/>
    <n v="0.35448239060832443"/>
    <x v="2"/>
  </r>
  <r>
    <x v="11"/>
    <d v="2018-01-01T00:00:00"/>
    <n v="356.47"/>
    <n v="954"/>
    <n v="2.6762420400033662"/>
    <n v="0.37365828092243192"/>
    <x v="3"/>
  </r>
  <r>
    <x v="11"/>
    <d v="2018-02-01T00:00:00"/>
    <n v="356.06"/>
    <n v="954"/>
    <n v="2.6793237094871651"/>
    <n v="0.37322851153039832"/>
    <x v="3"/>
  </r>
  <r>
    <x v="11"/>
    <d v="2018-03-01T00:00:00"/>
    <n v="342.46"/>
    <n v="954"/>
    <n v="2.7857268002102438"/>
    <n v="0.35897274633123688"/>
    <x v="3"/>
  </r>
  <r>
    <x v="11"/>
    <d v="2018-04-01T00:00:00"/>
    <n v="333.11"/>
    <n v="954"/>
    <n v="2.8639188256131609"/>
    <n v="0.34917190775681345"/>
    <x v="3"/>
  </r>
  <r>
    <x v="11"/>
    <d v="2018-05-01T00:00:00"/>
    <n v="336.36"/>
    <n v="954"/>
    <n v="2.8362468783446309"/>
    <n v="0.35257861635220128"/>
    <x v="3"/>
  </r>
  <r>
    <x v="11"/>
    <d v="2018-06-01T00:00:00"/>
    <n v="355.93"/>
    <n v="954"/>
    <n v="2.6803023066333269"/>
    <n v="0.37309224318658279"/>
    <x v="3"/>
  </r>
  <r>
    <x v="11"/>
    <d v="2018-07-01T00:00:00"/>
    <n v="347.43"/>
    <n v="954"/>
    <n v="2.7458768672826182"/>
    <n v="0.36418238993710694"/>
    <x v="3"/>
  </r>
  <r>
    <x v="11"/>
    <d v="2018-08-01T00:00:00"/>
    <n v="340.14"/>
    <n v="954"/>
    <n v="2.8047274651614043"/>
    <n v="0.35654088050314464"/>
    <x v="3"/>
  </r>
  <r>
    <x v="11"/>
    <d v="2018-09-01T00:00:00"/>
    <n v="332.75"/>
    <n v="954"/>
    <n v="2.8670172802404208"/>
    <n v="0.34879454926624737"/>
    <x v="3"/>
  </r>
  <r>
    <x v="11"/>
    <d v="2018-10-01T00:00:00"/>
    <n v="330.2"/>
    <n v="954"/>
    <n v="2.88915808600848"/>
    <n v="0.34612159329140463"/>
    <x v="3"/>
  </r>
  <r>
    <x v="11"/>
    <d v="2018-11-01T00:00:00"/>
    <n v="333.5"/>
    <n v="954"/>
    <n v="2.8605697151424287"/>
    <n v="0.34958071278825997"/>
    <x v="3"/>
  </r>
  <r>
    <x v="11"/>
    <d v="2018-12-01T00:00:00"/>
    <n v="340.57"/>
    <n v="954"/>
    <n v="2.8011862465866049"/>
    <n v="0.3569916142557652"/>
    <x v="3"/>
  </r>
  <r>
    <x v="11"/>
    <d v="2019-01-01T00:00:00"/>
    <n v="348.85"/>
    <n v="998"/>
    <n v="2.8608284362906691"/>
    <n v="0.34954909819639279"/>
    <x v="4"/>
  </r>
  <r>
    <x v="11"/>
    <d v="2019-02-01T00:00:00"/>
    <n v="376.34"/>
    <n v="998"/>
    <n v="2.6518573630227986"/>
    <n v="0.37709418837675346"/>
    <x v="4"/>
  </r>
  <r>
    <x v="11"/>
    <d v="2019-03-01T00:00:00"/>
    <n v="401.35"/>
    <n v="998"/>
    <n v="2.4866076990158215"/>
    <n v="0.4021543086172345"/>
    <x v="4"/>
  </r>
  <r>
    <x v="11"/>
    <d v="2019-04-01T00:00:00"/>
    <n v="417.03"/>
    <n v="998"/>
    <n v="2.3931132052849917"/>
    <n v="0.41786573146292583"/>
    <x v="4"/>
  </r>
  <r>
    <x v="11"/>
    <d v="2019-05-01T00:00:00"/>
    <n v="417.85"/>
    <n v="998"/>
    <n v="2.3884168960153165"/>
    <n v="0.41868737474949902"/>
    <x v="4"/>
  </r>
  <r>
    <x v="11"/>
    <d v="2019-06-01T00:00:00"/>
    <n v="396.21"/>
    <n v="998"/>
    <n v="2.5188662577925847"/>
    <n v="0.39700400801603203"/>
    <x v="4"/>
  </r>
  <r>
    <x v="11"/>
    <d v="2019-07-01T00:00:00"/>
    <n v="381.1"/>
    <n v="998"/>
    <n v="2.6187352400944635"/>
    <n v="0.38186372745490982"/>
    <x v="4"/>
  </r>
  <r>
    <x v="11"/>
    <d v="2019-08-01T00:00:00"/>
    <n v="361.64"/>
    <n v="998"/>
    <n v="2.7596504811414668"/>
    <n v="0.36236472945891784"/>
    <x v="4"/>
  </r>
  <r>
    <x v="11"/>
    <d v="2019-09-01T00:00:00"/>
    <n v="367.16"/>
    <n v="998"/>
    <n v="2.7181610197189237"/>
    <n v="0.36789579158316638"/>
    <x v="4"/>
  </r>
  <r>
    <x v="11"/>
    <d v="2019-10-01T00:00:00"/>
    <n v="359.55"/>
    <n v="998"/>
    <n v="2.7756918370184951"/>
    <n v="0.36027054108216433"/>
    <x v="4"/>
  </r>
  <r>
    <x v="11"/>
    <d v="2019-11-01T00:00:00"/>
    <n v="354.64"/>
    <n v="998"/>
    <n v="2.8141213625084593"/>
    <n v="0.35535070140280561"/>
    <x v="4"/>
  </r>
  <r>
    <x v="11"/>
    <d v="2019-12-01T00:00:00"/>
    <n v="393.8"/>
    <n v="998"/>
    <n v="2.5342813610970034"/>
    <n v="0.39458917835671342"/>
    <x v="4"/>
  </r>
  <r>
    <x v="11"/>
    <d v="2020-01-01T00:00:00"/>
    <n v="395.93"/>
    <n v="1039"/>
    <n v="2.6242012476952996"/>
    <n v="0.38106833493743986"/>
    <x v="5"/>
  </r>
  <r>
    <x v="11"/>
    <d v="2020-02-01T00:00:00"/>
    <n v="420.27"/>
    <n v="1045"/>
    <n v="2.4864967758821712"/>
    <n v="0.40217224880382774"/>
    <x v="5"/>
  </r>
  <r>
    <x v="11"/>
    <d v="2020-03-01T00:00:00"/>
    <n v="433.28"/>
    <n v="1045"/>
    <n v="2.4118353028064994"/>
    <n v="0.41462200956937795"/>
    <x v="5"/>
  </r>
  <r>
    <x v="11"/>
    <d v="2020-04-01T00:00:00"/>
    <n v="461.26"/>
    <n v="1045"/>
    <n v="2.2655335385682696"/>
    <n v="0.44139712918660284"/>
    <x v="5"/>
  </r>
  <r>
    <x v="11"/>
    <d v="2020-05-01T00:00:00"/>
    <n v="451.45"/>
    <n v="1045"/>
    <n v="2.3147635397053938"/>
    <n v="0.4320095693779904"/>
    <x v="5"/>
  </r>
  <r>
    <x v="11"/>
    <d v="2020-06-01T00:00:00"/>
    <n v="435.3"/>
    <n v="1045"/>
    <n v="2.4006432345508846"/>
    <n v="0.41655502392344501"/>
    <x v="5"/>
  </r>
  <r>
    <x v="11"/>
    <d v="2020-07-01T00:00:00"/>
    <n v="436.1"/>
    <n v="1045"/>
    <n v="2.3962393946342582"/>
    <n v="0.41732057416267943"/>
    <x v="5"/>
  </r>
  <r>
    <x v="11"/>
    <d v="2020-08-01T00:00:00"/>
    <n v="439.19"/>
    <n v="1045"/>
    <n v="2.3793802226826659"/>
    <n v="0.42027751196172247"/>
    <x v="5"/>
  </r>
  <r>
    <x v="11"/>
    <d v="2020-09-01T00:00:00"/>
    <n v="464.31"/>
    <n v="1045"/>
    <n v="2.2506515043828474"/>
    <n v="0.44431578947368422"/>
    <x v="5"/>
  </r>
  <r>
    <x v="11"/>
    <d v="2020-10-01T00:00:00"/>
    <n v="469.05"/>
    <n v="1045"/>
    <n v="2.2279074725509007"/>
    <n v="0.44885167464114833"/>
    <x v="5"/>
  </r>
  <r>
    <x v="11"/>
    <d v="2020-11-01T00:00:00"/>
    <n v="462.98"/>
    <n v="1045"/>
    <n v="2.257116938096678"/>
    <n v="0.44304306220095696"/>
    <x v="5"/>
  </r>
  <r>
    <x v="11"/>
    <d v="2020-12-01T00:00:00"/>
    <n v="469.39"/>
    <n v="1045"/>
    <n v="2.2262937003344767"/>
    <n v="0.44917703349282295"/>
    <x v="5"/>
  </r>
  <r>
    <x v="11"/>
    <d v="2021-01-01T00:00:00"/>
    <n v="474.22"/>
    <n v="1100"/>
    <n v="2.3195984985871534"/>
    <n v="0.43110909090909094"/>
    <x v="6"/>
  </r>
  <r>
    <x v="11"/>
    <d v="2021-02-01T00:00:00"/>
    <n v="469.71"/>
    <n v="1100"/>
    <n v="2.3418705158502053"/>
    <n v="0.42700909090909089"/>
    <x v="6"/>
  </r>
  <r>
    <x v="11"/>
    <d v="2021-03-01T00:00:00"/>
    <n v="461.33"/>
    <n v="1100"/>
    <n v="2.3844102919818786"/>
    <n v="0.41939090909090909"/>
    <x v="6"/>
  </r>
  <r>
    <x v="11"/>
    <d v="2021-04-01T00:00:00"/>
    <n v="471.52"/>
    <n v="1100"/>
    <n v="2.3328808958262641"/>
    <n v="0.42865454545454545"/>
    <x v="6"/>
  </r>
  <r>
    <x v="11"/>
    <d v="2021-05-01T00:00:00"/>
    <n v="480.8"/>
    <n v="1100"/>
    <n v="2.287853577371048"/>
    <n v="0.43709090909090909"/>
    <x v="6"/>
  </r>
  <r>
    <x v="11"/>
    <d v="2021-06-01T00:00:00"/>
    <n v="483.92"/>
    <n v="1100"/>
    <n v="2.2731029922301205"/>
    <n v="0.43992727272727272"/>
    <x v="6"/>
  </r>
  <r>
    <x v="11"/>
    <d v="2021-07-01T00:00:00"/>
    <n v="487.6"/>
    <n v="1100"/>
    <n v="2.2559474979491387"/>
    <n v="0.44327272727272732"/>
    <x v="6"/>
  </r>
  <r>
    <x v="11"/>
    <d v="2021-08-01T00:00:00"/>
    <n v="491.46"/>
    <n v="1100"/>
    <n v="2.2382289504740975"/>
    <n v="0.44678181818181817"/>
    <x v="6"/>
  </r>
  <r>
    <x v="11"/>
    <d v="2021-09-01T00:00:00"/>
    <n v="489.4"/>
    <n v="1100"/>
    <n v="2.2476501838986516"/>
    <n v="0.44490909090909087"/>
    <x v="6"/>
  </r>
  <r>
    <x v="11"/>
    <d v="2021-10-01T00:00:00"/>
    <n v="485.26"/>
    <n v="1100"/>
    <n v="2.2668260314058442"/>
    <n v="0.44114545454545456"/>
    <x v="6"/>
  </r>
  <r>
    <x v="11"/>
    <d v="2021-11-01T00:00:00"/>
    <n v="524.73"/>
    <n v="1100"/>
    <n v="2.0963162007127476"/>
    <n v="0.47702727272727274"/>
    <x v="6"/>
  </r>
  <r>
    <x v="11"/>
    <d v="2021-12-01T00:00:00"/>
    <n v="532.37"/>
    <n v="1100"/>
    <n v="2.0662321317880421"/>
    <n v="0.48397272727272728"/>
    <x v="6"/>
  </r>
  <r>
    <x v="11"/>
    <d v="2022-01-01T00:00:00"/>
    <n v="543.1"/>
    <n v="1212"/>
    <n v="2.2316332167188362"/>
    <n v="0.44810231023102315"/>
    <x v="7"/>
  </r>
  <r>
    <x v="11"/>
    <d v="2022-02-01T00:00:00"/>
    <n v="549.20000000000005"/>
    <n v="1212"/>
    <n v="2.2068463219227965"/>
    <n v="0.45313531353135317"/>
    <x v="7"/>
  </r>
  <r>
    <x v="11"/>
    <d v="2022-03-01T00:00:00"/>
    <n v="561.57000000000005"/>
    <n v="1212"/>
    <n v="2.1582349484481007"/>
    <n v="0.46334158415841586"/>
    <x v="7"/>
  </r>
  <r>
    <x v="11"/>
    <d v="2022-04-01T00:00:00"/>
    <n v="582.74"/>
    <n v="1212"/>
    <n v="2.0798297697086179"/>
    <n v="0.48080858085808581"/>
    <x v="7"/>
  </r>
  <r>
    <x v="11"/>
    <d v="2022-05-01T00:00:00"/>
    <n v="595.89"/>
    <n v="1212"/>
    <n v="2.0339324371947844"/>
    <n v="0.49165841584158415"/>
    <x v="7"/>
  </r>
  <r>
    <x v="11"/>
    <d v="2022-06-01T00:00:00"/>
    <n v="612.34"/>
    <n v="1212"/>
    <n v="1.9792925498905836"/>
    <n v="0.50523102310231027"/>
    <x v="7"/>
  </r>
  <r>
    <x v="11"/>
    <d v="2022-07-01T00:00:00"/>
    <n v="616.63"/>
    <n v="1212"/>
    <n v="1.9655222742973906"/>
    <n v="0.50877062706270626"/>
    <x v="7"/>
  </r>
  <r>
    <x v="11"/>
    <d v="2022-08-01T00:00:00"/>
    <n v="598.14"/>
    <n v="1212"/>
    <n v="2.0262814725649516"/>
    <n v="0.49351485148514851"/>
    <x v="7"/>
  </r>
  <r>
    <x v="11"/>
    <d v="2022-09-01T00:00:00"/>
    <n v="580.01"/>
    <n v="1212"/>
    <n v="2.0896191444975085"/>
    <n v="0.47855610561056106"/>
    <x v="7"/>
  </r>
  <r>
    <x v="11"/>
    <d v="2022-10-01T00:00:00"/>
    <n v="558.4"/>
    <n v="1212"/>
    <n v="2.170487106017192"/>
    <n v="0.46072607260726073"/>
    <x v="7"/>
  </r>
  <r>
    <x v="11"/>
    <d v="2022-11-01T00:00:00"/>
    <n v="551.29999999999995"/>
    <n v="1212"/>
    <n v="2.1984400507890443"/>
    <n v="0.45486798679867985"/>
    <x v="7"/>
  </r>
  <r>
    <x v="11"/>
    <d v="2022-12-01T00:00:00"/>
    <n v="565.09"/>
    <n v="1212"/>
    <n v="2.1447910952237694"/>
    <n v="0.46624587458745875"/>
    <x v="7"/>
  </r>
  <r>
    <x v="11"/>
    <d v="2023-01-01T00:00:00"/>
    <n v="608.1"/>
    <n v="1302"/>
    <n v="2.1410952146028612"/>
    <n v="0.46705069124423965"/>
    <x v="8"/>
  </r>
  <r>
    <x v="11"/>
    <d v="2023-02-01T00:00:00"/>
    <n v="606.92999999999995"/>
    <n v="1302"/>
    <n v="2.1452226780683112"/>
    <n v="0.46615207373271883"/>
    <x v="8"/>
  </r>
  <r>
    <x v="11"/>
    <d v="2023-03-01T00:00:00"/>
    <n v="578.73"/>
    <n v="1302"/>
    <n v="2.2497537711886371"/>
    <n v="0.44449308755760369"/>
    <x v="8"/>
  </r>
  <r>
    <x v="11"/>
    <d v="2023-04-01T00:00:00"/>
    <n v="582.26"/>
    <n v="1302"/>
    <n v="2.236114450589084"/>
    <n v="0.44720430107526882"/>
    <x v="8"/>
  </r>
  <r>
    <x v="11"/>
    <d v="2023-05-01T00:00:00"/>
    <n v="587.13"/>
    <n v="1320"/>
    <n v="2.2482244136732921"/>
    <n v="0.44479545454545455"/>
    <x v="8"/>
  </r>
  <r>
    <x v="11"/>
    <d v="2023-06-01T00:00:00"/>
    <n v="621.14"/>
    <n v="1320"/>
    <n v="2.1251247705831213"/>
    <n v="0.47056060606060607"/>
    <x v="8"/>
  </r>
  <r>
    <x v="11"/>
    <d v="2023-07-01T00:00:00"/>
    <n v="592.71"/>
    <n v="1320"/>
    <n v="2.2270587639823858"/>
    <n v="0.4490227272727273"/>
    <x v="8"/>
  </r>
  <r>
    <x v="11"/>
    <d v="2023-08-01T00:00:00"/>
    <n v="580.72"/>
    <n v="1320"/>
    <n v="2.2730403636864582"/>
    <n v="0.43993939393939396"/>
    <x v="8"/>
  </r>
  <r>
    <x v="11"/>
    <d v="2023-09-01T00:00:00"/>
    <n v="570.20000000000005"/>
    <n v="1320"/>
    <n v="2.3149772009821112"/>
    <n v="0.431969696969697"/>
    <x v="8"/>
  </r>
  <r>
    <x v="11"/>
    <d v="2023-10-01T00:00:00"/>
    <n v="557.1"/>
    <n v="1320"/>
    <n v="2.3694130317716748"/>
    <n v="0.42204545454545456"/>
    <x v="8"/>
  </r>
  <r>
    <x v="11"/>
    <d v="2023-11-01T00:00:00"/>
    <n v="551.04"/>
    <n v="1320"/>
    <n v="2.3954703832752613"/>
    <n v="0.41745454545454541"/>
    <x v="8"/>
  </r>
  <r>
    <x v="11"/>
    <d v="2023-12-01T00:00:00"/>
    <n v="538.08000000000004"/>
    <n v="1320"/>
    <n v="2.4531668153434434"/>
    <n v="0.40763636363636369"/>
    <x v="8"/>
  </r>
  <r>
    <x v="11"/>
    <d v="2024-01-01T00:00:00"/>
    <n v="550.51"/>
    <n v="1412"/>
    <n v="2.5648943706744656"/>
    <n v="0.38987960339943339"/>
    <x v="9"/>
  </r>
  <r>
    <x v="11"/>
    <d v="2024-02-01T00:00:00"/>
    <n v="559.67999999999995"/>
    <n v="1412"/>
    <n v="2.5228702115494572"/>
    <n v="0.39637393767705381"/>
    <x v="9"/>
  </r>
  <r>
    <x v="11"/>
    <d v="2024-03-01T00:00:00"/>
    <n v="592.19000000000005"/>
    <n v="1412"/>
    <n v="2.3843698812880998"/>
    <n v="0.41939801699716717"/>
    <x v="9"/>
  </r>
  <r>
    <x v="11"/>
    <d v="2024-04-01T00:00:00"/>
    <n v="617.28"/>
    <n v="1412"/>
    <n v="2.2874546397096944"/>
    <n v="0.43716713881019831"/>
    <x v="9"/>
  </r>
  <r>
    <x v="11"/>
    <d v="2024-05-01T00:00:00"/>
    <n v="618.47"/>
    <n v="1412"/>
    <n v="2.2830533413100067"/>
    <n v="0.43800991501416431"/>
    <x v="9"/>
  </r>
  <r>
    <x v="11"/>
    <d v="2024-06-01T00:00:00"/>
    <n v="582.9"/>
    <n v="1412"/>
    <n v="2.4223709041001888"/>
    <n v="0.4128186968838527"/>
    <x v="9"/>
  </r>
  <r>
    <x v="11"/>
    <d v="2024-07-01T00:00:00"/>
    <n v="548.42999999999995"/>
    <n v="1412"/>
    <n v="2.5746221030942875"/>
    <n v="0.38840651558073652"/>
    <x v="9"/>
  </r>
  <r>
    <x v="11"/>
    <d v="2024-08-01T00:00:00"/>
    <n v="533.12"/>
    <n v="1412"/>
    <n v="2.6485594237695076"/>
    <n v="0.37756373937677057"/>
    <x v="9"/>
  </r>
  <r>
    <x v="11"/>
    <d v="2024-09-01T00:00:00"/>
    <n v="535.32000000000005"/>
    <n v="1412"/>
    <n v="2.6376746618844802"/>
    <n v="0.37912181303116149"/>
    <x v="9"/>
  </r>
  <r>
    <x v="11"/>
    <d v="2024-10-01T00:00:00"/>
    <n v="548.19000000000005"/>
    <n v="1412"/>
    <n v="2.5757492840073692"/>
    <n v="0.38823654390934847"/>
    <x v="9"/>
  </r>
  <r>
    <x v="11"/>
    <d v="2024-11-01T00:00:00"/>
    <n v="578.16"/>
    <n v="1412"/>
    <n v="2.4422305244223055"/>
    <n v="0.40946175637393767"/>
    <x v="9"/>
  </r>
  <r>
    <x v="11"/>
    <d v="2024-12-01T00:00:00"/>
    <n v="588.35"/>
    <n v="1412"/>
    <n v="2.3999320132574149"/>
    <n v="0.41667847025495752"/>
    <x v="9"/>
  </r>
  <r>
    <x v="11"/>
    <d v="2025-01-01T00:00:00"/>
    <n v="598.72"/>
    <n v="1518"/>
    <n v="2.535408872260823"/>
    <n v="0.39441370223978922"/>
    <x v="10"/>
  </r>
  <r>
    <x v="11"/>
    <d v="2025-02-01T00:00:00"/>
    <n v="625.33000000000004"/>
    <n v="1518"/>
    <n v="2.4275182703532532"/>
    <n v="0.4119433465085639"/>
    <x v="10"/>
  </r>
  <r>
    <x v="11"/>
    <d v="2025-03-01T00:00:00"/>
    <n v="627.14"/>
    <n v="1518"/>
    <n v="2.4205121663424434"/>
    <n v="0.41313570487483531"/>
    <x v="10"/>
  </r>
  <r>
    <x v="11"/>
    <d v="2025-04-01T00:00:00"/>
    <n v="652.71"/>
    <n v="1518"/>
    <n v="2.3256882842303623"/>
    <n v="0.42998023715415024"/>
    <x v="10"/>
  </r>
  <r>
    <x v="11"/>
    <d v="2025-05-01T00:00:00"/>
    <n v="636"/>
    <n v="1518"/>
    <n v="2.3867924528301887"/>
    <n v="0.4189723320158103"/>
    <x v="10"/>
  </r>
  <r>
    <x v="11"/>
    <d v="2025-06-01T00:00:00"/>
    <n v="637.62"/>
    <n v="1518"/>
    <n v="2.3807283334901665"/>
    <n v="0.42003952569169961"/>
    <x v="10"/>
  </r>
  <r>
    <x v="12"/>
    <d v="2015-01-01T00:00:00"/>
    <n v="353.51"/>
    <n v="788"/>
    <n v="2.2290741421741962"/>
    <n v="0.4486167512690355"/>
    <x v="0"/>
  </r>
  <r>
    <x v="12"/>
    <d v="2015-02-01T00:00:00"/>
    <n v="357.27"/>
    <n v="788"/>
    <n v="2.2056148011307974"/>
    <n v="0.45338832487309644"/>
    <x v="0"/>
  </r>
  <r>
    <x v="12"/>
    <d v="2015-03-01T00:00:00"/>
    <n v="358.68"/>
    <n v="788"/>
    <n v="2.196944351511096"/>
    <n v="0.45517766497461931"/>
    <x v="0"/>
  </r>
  <r>
    <x v="12"/>
    <d v="2015-04-01T00:00:00"/>
    <n v="374.85"/>
    <n v="788"/>
    <n v="2.1021742030145392"/>
    <n v="0.47569796954314725"/>
    <x v="0"/>
  </r>
  <r>
    <x v="12"/>
    <d v="2015-05-01T00:00:00"/>
    <n v="395.23"/>
    <n v="788"/>
    <n v="1.9937757761303543"/>
    <n v="0.50156091370558376"/>
    <x v="0"/>
  </r>
  <r>
    <x v="12"/>
    <d v="2015-06-01T00:00:00"/>
    <n v="368.71"/>
    <n v="788"/>
    <n v="2.1371809823438475"/>
    <n v="0.46790609137055833"/>
    <x v="0"/>
  </r>
  <r>
    <x v="12"/>
    <d v="2015-07-01T00:00:00"/>
    <n v="372.24"/>
    <n v="788"/>
    <n v="2.1169138190414785"/>
    <n v="0.47238578680203047"/>
    <x v="0"/>
  </r>
  <r>
    <x v="12"/>
    <d v="2015-08-01T00:00:00"/>
    <n v="361.93"/>
    <n v="788"/>
    <n v="2.1772165888431463"/>
    <n v="0.45930203045685281"/>
    <x v="0"/>
  </r>
  <r>
    <x v="12"/>
    <d v="2015-09-01T00:00:00"/>
    <n v="362.9"/>
    <n v="788"/>
    <n v="2.1713970790851476"/>
    <n v="0.46053299492385785"/>
    <x v="0"/>
  </r>
  <r>
    <x v="12"/>
    <d v="2015-10-01T00:00:00"/>
    <n v="359.66"/>
    <n v="788"/>
    <n v="2.1909581271200578"/>
    <n v="0.45642131979695433"/>
    <x v="0"/>
  </r>
  <r>
    <x v="12"/>
    <d v="2015-11-01T00:00:00"/>
    <n v="385.8"/>
    <n v="788"/>
    <n v="2.0425090720580612"/>
    <n v="0.48959390862944163"/>
    <x v="0"/>
  </r>
  <r>
    <x v="12"/>
    <d v="2015-12-01T00:00:00"/>
    <n v="394.21"/>
    <n v="788"/>
    <n v="1.9989345780167931"/>
    <n v="0.50026649746192886"/>
    <x v="0"/>
  </r>
  <r>
    <x v="12"/>
    <d v="2016-01-01T00:00:00"/>
    <n v="448.06"/>
    <n v="880"/>
    <n v="1.9640226755345267"/>
    <n v="0.50915909090909095"/>
    <x v="1"/>
  </r>
  <r>
    <x v="12"/>
    <d v="2016-02-01T00:00:00"/>
    <n v="430.56"/>
    <n v="880"/>
    <n v="2.0438498699368264"/>
    <n v="0.48927272727272725"/>
    <x v="1"/>
  </r>
  <r>
    <x v="12"/>
    <d v="2016-03-01T00:00:00"/>
    <n v="440.79"/>
    <n v="880"/>
    <n v="1.9964155266680277"/>
    <n v="0.5008977272727273"/>
    <x v="1"/>
  </r>
  <r>
    <x v="12"/>
    <d v="2016-04-01T00:00:00"/>
    <n v="433.96"/>
    <n v="880"/>
    <n v="2.027836666973915"/>
    <n v="0.49313636363636359"/>
    <x v="1"/>
  </r>
  <r>
    <x v="12"/>
    <d v="2016-05-01T00:00:00"/>
    <n v="436.02"/>
    <n v="880"/>
    <n v="2.0182560433007661"/>
    <n v="0.49547727272727271"/>
    <x v="1"/>
  </r>
  <r>
    <x v="12"/>
    <d v="2016-06-01T00:00:00"/>
    <n v="439.33"/>
    <n v="880"/>
    <n v="2.0030500990144082"/>
    <n v="0.49923863636363636"/>
    <x v="1"/>
  </r>
  <r>
    <x v="12"/>
    <d v="2016-07-01T00:00:00"/>
    <n v="448.28"/>
    <n v="880"/>
    <n v="1.9630588025341307"/>
    <n v="0.50940909090909092"/>
    <x v="1"/>
  </r>
  <r>
    <x v="12"/>
    <d v="2016-08-01T00:00:00"/>
    <n v="455.45"/>
    <n v="880"/>
    <n v="1.9321550115270612"/>
    <n v="0.5175568181818182"/>
    <x v="1"/>
  </r>
  <r>
    <x v="12"/>
    <d v="2016-09-01T00:00:00"/>
    <n v="451.58"/>
    <n v="880"/>
    <n v="1.9487134062624563"/>
    <n v="0.51315909090909084"/>
    <x v="1"/>
  </r>
  <r>
    <x v="12"/>
    <d v="2016-10-01T00:00:00"/>
    <n v="456.44"/>
    <n v="880"/>
    <n v="1.9279642450267287"/>
    <n v="0.51868181818181813"/>
    <x v="1"/>
  </r>
  <r>
    <x v="12"/>
    <d v="2016-11-01T00:00:00"/>
    <n v="448.73"/>
    <n v="880"/>
    <n v="1.9610901878635258"/>
    <n v="0.50992045454545454"/>
    <x v="1"/>
  </r>
  <r>
    <x v="12"/>
    <d v="2016-12-01T00:00:00"/>
    <n v="443.75"/>
    <n v="880"/>
    <n v="1.9830985915492958"/>
    <n v="0.50426136363636365"/>
    <x v="1"/>
  </r>
  <r>
    <x v="12"/>
    <d v="2017-01-01T00:00:00"/>
    <n v="440.16"/>
    <n v="937"/>
    <n v="2.1287713558705925"/>
    <n v="0.46975453575240128"/>
    <x v="2"/>
  </r>
  <r>
    <x v="12"/>
    <d v="2017-02-01T00:00:00"/>
    <n v="424.55"/>
    <n v="937"/>
    <n v="2.2070427511482746"/>
    <n v="0.45309498399146214"/>
    <x v="2"/>
  </r>
  <r>
    <x v="12"/>
    <d v="2017-03-01T00:00:00"/>
    <n v="431.31"/>
    <n v="937"/>
    <n v="2.172451369084881"/>
    <n v="0.4603094983991462"/>
    <x v="2"/>
  </r>
  <r>
    <x v="12"/>
    <d v="2017-04-01T00:00:00"/>
    <n v="448.51"/>
    <n v="937"/>
    <n v="2.089139595549709"/>
    <n v="0.47866595517609389"/>
    <x v="2"/>
  </r>
  <r>
    <x v="12"/>
    <d v="2017-05-01T00:00:00"/>
    <n v="442.56"/>
    <n v="937"/>
    <n v="2.1172270426608821"/>
    <n v="0.47231590181430094"/>
    <x v="2"/>
  </r>
  <r>
    <x v="12"/>
    <d v="2017-06-01T00:00:00"/>
    <n v="420.35"/>
    <n v="937"/>
    <n v="2.229094801950755"/>
    <n v="0.44861259338313769"/>
    <x v="2"/>
  </r>
  <r>
    <x v="12"/>
    <d v="2017-07-01T00:00:00"/>
    <n v="425.62"/>
    <n v="937"/>
    <n v="2.2014942906818287"/>
    <n v="0.45423692636072571"/>
    <x v="2"/>
  </r>
  <r>
    <x v="12"/>
    <d v="2017-08-01T00:00:00"/>
    <n v="410.43"/>
    <n v="937"/>
    <n v="2.2829715176765832"/>
    <n v="0.43802561366061898"/>
    <x v="2"/>
  </r>
  <r>
    <x v="12"/>
    <d v="2017-09-01T00:00:00"/>
    <n v="410.27"/>
    <n v="937"/>
    <n v="2.2838618470763157"/>
    <n v="0.43785485592315898"/>
    <x v="2"/>
  </r>
  <r>
    <x v="12"/>
    <d v="2017-10-01T00:00:00"/>
    <n v="421.05"/>
    <n v="937"/>
    <n v="2.2253889086806793"/>
    <n v="0.44935965848452508"/>
    <x v="2"/>
  </r>
  <r>
    <x v="12"/>
    <d v="2017-11-01T00:00:00"/>
    <n v="407.37"/>
    <n v="937"/>
    <n v="2.30012028377151"/>
    <n v="0.43475987193169691"/>
    <x v="2"/>
  </r>
  <r>
    <x v="12"/>
    <d v="2017-12-01T00:00:00"/>
    <n v="418.71"/>
    <n v="937"/>
    <n v="2.2378257027536961"/>
    <n v="0.44686232657417285"/>
    <x v="2"/>
  </r>
  <r>
    <x v="12"/>
    <d v="2018-01-01T00:00:00"/>
    <n v="443.81"/>
    <n v="954"/>
    <n v="2.1495685090466643"/>
    <n v="0.46520964360587003"/>
    <x v="3"/>
  </r>
  <r>
    <x v="12"/>
    <d v="2018-02-01T00:00:00"/>
    <n v="438.36"/>
    <n v="954"/>
    <n v="2.1762934574322474"/>
    <n v="0.45949685534591195"/>
    <x v="3"/>
  </r>
  <r>
    <x v="12"/>
    <d v="2018-03-01T00:00:00"/>
    <n v="441.19"/>
    <n v="954"/>
    <n v="2.1623336884335549"/>
    <n v="0.46246331236897276"/>
    <x v="3"/>
  </r>
  <r>
    <x v="12"/>
    <d v="2018-04-01T00:00:00"/>
    <n v="440.06"/>
    <n v="954"/>
    <n v="2.1678861973367267"/>
    <n v="0.46127882599580711"/>
    <x v="3"/>
  </r>
  <r>
    <x v="12"/>
    <d v="2018-05-01T00:00:00"/>
    <n v="446.03"/>
    <n v="954"/>
    <n v="2.1388695827634914"/>
    <n v="0.46753668763102724"/>
    <x v="3"/>
  </r>
  <r>
    <x v="12"/>
    <d v="2018-06-01T00:00:00"/>
    <n v="445.58"/>
    <n v="954"/>
    <n v="2.1410296691952064"/>
    <n v="0.46706498951781972"/>
    <x v="3"/>
  </r>
  <r>
    <x v="12"/>
    <d v="2018-07-01T00:00:00"/>
    <n v="421.89"/>
    <n v="954"/>
    <n v="2.261252933229041"/>
    <n v="0.44223270440251572"/>
    <x v="3"/>
  </r>
  <r>
    <x v="12"/>
    <d v="2018-08-01T00:00:00"/>
    <n v="417.05"/>
    <n v="954"/>
    <n v="2.2874955041361948"/>
    <n v="0.43715932914046124"/>
    <x v="3"/>
  </r>
  <r>
    <x v="12"/>
    <d v="2018-09-01T00:00:00"/>
    <n v="418.48"/>
    <n v="954"/>
    <n v="2.2796788376983366"/>
    <n v="0.43865828092243186"/>
    <x v="3"/>
  </r>
  <r>
    <x v="12"/>
    <d v="2018-10-01T00:00:00"/>
    <n v="443.69"/>
    <n v="954"/>
    <n v="2.150149879420316"/>
    <n v="0.46508385744234798"/>
    <x v="3"/>
  </r>
  <r>
    <x v="12"/>
    <d v="2018-11-01T00:00:00"/>
    <n v="460.24"/>
    <n v="954"/>
    <n v="2.0728315661394054"/>
    <n v="0.48243186582809228"/>
    <x v="3"/>
  </r>
  <r>
    <x v="12"/>
    <d v="2018-12-01T00:00:00"/>
    <n v="466.75"/>
    <n v="954"/>
    <n v="2.0439207284413499"/>
    <n v="0.48925576519916142"/>
    <x v="3"/>
  </r>
  <r>
    <x v="12"/>
    <d v="2019-01-01T00:00:00"/>
    <n v="460.46"/>
    <n v="998"/>
    <n v="2.1673978195717325"/>
    <n v="0.46138276553106211"/>
    <x v="4"/>
  </r>
  <r>
    <x v="12"/>
    <d v="2019-02-01T00:00:00"/>
    <n v="464.47"/>
    <n v="998"/>
    <n v="2.1486855986393092"/>
    <n v="0.46540080160320646"/>
    <x v="4"/>
  </r>
  <r>
    <x v="12"/>
    <d v="2019-03-01T00:00:00"/>
    <n v="496.33"/>
    <n v="998"/>
    <n v="2.0107589708460099"/>
    <n v="0.49732464929859715"/>
    <x v="4"/>
  </r>
  <r>
    <x v="12"/>
    <d v="2019-04-01T00:00:00"/>
    <n v="515.58000000000004"/>
    <n v="998"/>
    <n v="1.9356840839442957"/>
    <n v="0.51661322645290586"/>
    <x v="4"/>
  </r>
  <r>
    <x v="12"/>
    <d v="2019-05-01T00:00:00"/>
    <n v="492.93"/>
    <n v="998"/>
    <n v="2.0246282433611262"/>
    <n v="0.49391783567134268"/>
    <x v="4"/>
  </r>
  <r>
    <x v="12"/>
    <d v="2019-06-01T00:00:00"/>
    <n v="498.67"/>
    <n v="998"/>
    <n v="2.0013235205647022"/>
    <n v="0.49966933867735475"/>
    <x v="4"/>
  </r>
  <r>
    <x v="12"/>
    <d v="2019-07-01T00:00:00"/>
    <n v="479.28"/>
    <n v="998"/>
    <n v="2.082290101819396"/>
    <n v="0.48024048096192384"/>
    <x v="4"/>
  </r>
  <r>
    <x v="12"/>
    <d v="2019-08-01T00:00:00"/>
    <n v="462.24"/>
    <n v="998"/>
    <n v="2.1590515749394252"/>
    <n v="0.46316633266533069"/>
    <x v="4"/>
  </r>
  <r>
    <x v="12"/>
    <d v="2019-09-01T00:00:00"/>
    <n v="458.21"/>
    <n v="998"/>
    <n v="2.1780406363894285"/>
    <n v="0.45912825651302602"/>
    <x v="4"/>
  </r>
  <r>
    <x v="12"/>
    <d v="2019-10-01T00:00:00"/>
    <n v="462.57"/>
    <n v="998"/>
    <n v="2.1575112955876947"/>
    <n v="0.46349699398797595"/>
    <x v="4"/>
  </r>
  <r>
    <x v="12"/>
    <d v="2019-11-01T00:00:00"/>
    <n v="455.37"/>
    <n v="998"/>
    <n v="2.1916243933504624"/>
    <n v="0.4562825651302605"/>
    <x v="4"/>
  </r>
  <r>
    <x v="12"/>
    <d v="2019-12-01T00:00:00"/>
    <n v="516.91"/>
    <n v="998"/>
    <n v="1.9307036041090326"/>
    <n v="0.51794589178356709"/>
    <x v="4"/>
  </r>
  <r>
    <x v="12"/>
    <d v="2020-01-01T00:00:00"/>
    <n v="507.13"/>
    <n v="1039"/>
    <n v="2.0487843353775168"/>
    <n v="0.48809432146294512"/>
    <x v="5"/>
  </r>
  <r>
    <x v="12"/>
    <d v="2020-02-01T00:00:00"/>
    <n v="505.55"/>
    <n v="1045"/>
    <n v="2.0670556819305705"/>
    <n v="0.48377990430622009"/>
    <x v="5"/>
  </r>
  <r>
    <x v="12"/>
    <d v="2020-03-01T00:00:00"/>
    <n v="533.65"/>
    <n v="1045"/>
    <n v="1.9582123114400825"/>
    <n v="0.51066985645933016"/>
    <x v="5"/>
  </r>
  <r>
    <x v="12"/>
    <d v="2020-04-01T00:00:00"/>
    <n v="544.34"/>
    <n v="1045"/>
    <n v="1.9197560348311715"/>
    <n v="0.52089952153110053"/>
    <x v="5"/>
  </r>
  <r>
    <x v="12"/>
    <d v="2020-05-01T00:00:00"/>
    <n v="558.80999999999995"/>
    <n v="1045"/>
    <n v="1.8700452747803369"/>
    <n v="0.53474641148325353"/>
    <x v="5"/>
  </r>
  <r>
    <x v="12"/>
    <d v="2020-06-01T00:00:00"/>
    <n v="512.84"/>
    <n v="1045"/>
    <n v="2.0376725684423991"/>
    <n v="0.49075598086124406"/>
    <x v="5"/>
  </r>
  <r>
    <x v="12"/>
    <d v="2020-07-01T00:00:00"/>
    <n v="505.72"/>
    <n v="1045"/>
    <n v="2.0663608320809934"/>
    <n v="0.48394258373205745"/>
    <x v="5"/>
  </r>
  <r>
    <x v="12"/>
    <d v="2020-08-01T00:00:00"/>
    <n v="529.76"/>
    <n v="1045"/>
    <n v="1.9725913621262459"/>
    <n v="0.50694736842105259"/>
    <x v="5"/>
  </r>
  <r>
    <x v="12"/>
    <d v="2020-09-01T00:00:00"/>
    <n v="563.75"/>
    <n v="1045"/>
    <n v="1.8536585365853659"/>
    <n v="0.53947368421052633"/>
    <x v="5"/>
  </r>
  <r>
    <x v="12"/>
    <d v="2020-10-01T00:00:00"/>
    <n v="592.25"/>
    <n v="1045"/>
    <n v="1.7644575770367243"/>
    <n v="0.56674641148325355"/>
    <x v="5"/>
  </r>
  <r>
    <x v="12"/>
    <d v="2020-11-01T00:00:00"/>
    <n v="629.63"/>
    <n v="1045"/>
    <n v="1.6597049060559377"/>
    <n v="0.60251674641148323"/>
    <x v="5"/>
  </r>
  <r>
    <x v="12"/>
    <d v="2020-12-01T00:00:00"/>
    <n v="621.09"/>
    <n v="1045"/>
    <n v="1.6825258819172744"/>
    <n v="0.59434449760765551"/>
    <x v="5"/>
  </r>
  <r>
    <x v="12"/>
    <d v="2021-01-01T00:00:00"/>
    <n v="644"/>
    <n v="1100"/>
    <n v="1.7080745341614907"/>
    <n v="0.58545454545454545"/>
    <x v="6"/>
  </r>
  <r>
    <x v="12"/>
    <d v="2021-02-01T00:00:00"/>
    <n v="629.82000000000005"/>
    <n v="1100"/>
    <n v="1.7465307548188369"/>
    <n v="0.57256363636363639"/>
    <x v="6"/>
  </r>
  <r>
    <x v="12"/>
    <d v="2021-03-01T00:00:00"/>
    <n v="612.55999999999995"/>
    <n v="1100"/>
    <n v="1.795742457881677"/>
    <n v="0.55687272727272719"/>
    <x v="6"/>
  </r>
  <r>
    <x v="12"/>
    <d v="2021-04-01T00:00:00"/>
    <n v="622.04"/>
    <n v="1100"/>
    <n v="1.7683750241142049"/>
    <n v="0.56549090909090904"/>
    <x v="6"/>
  </r>
  <r>
    <x v="12"/>
    <d v="2021-05-01T00:00:00"/>
    <n v="622.76"/>
    <n v="1100"/>
    <n v="1.7663305286145545"/>
    <n v="0.56614545454545451"/>
    <x v="6"/>
  </r>
  <r>
    <x v="12"/>
    <d v="2021-06-01T00:00:00"/>
    <n v="619.24"/>
    <n v="1100"/>
    <n v="1.7763710354628253"/>
    <n v="0.56294545454545453"/>
    <x v="6"/>
  </r>
  <r>
    <x v="12"/>
    <d v="2021-07-01T00:00:00"/>
    <n v="621.34"/>
    <n v="1100"/>
    <n v="1.7703672707374383"/>
    <n v="0.5648545454545455"/>
    <x v="6"/>
  </r>
  <r>
    <x v="12"/>
    <d v="2021-08-01T00:00:00"/>
    <n v="634.17999999999995"/>
    <n v="1100"/>
    <n v="1.7345233214544769"/>
    <n v="0.57652727272727267"/>
    <x v="6"/>
  </r>
  <r>
    <x v="12"/>
    <d v="2021-09-01T00:00:00"/>
    <n v="643.05999999999995"/>
    <n v="1100"/>
    <n v="1.7105713308244954"/>
    <n v="0.5845999999999999"/>
    <x v="6"/>
  </r>
  <r>
    <x v="12"/>
    <d v="2021-10-01T00:00:00"/>
    <n v="673.85"/>
    <n v="1100"/>
    <n v="1.6324107739111078"/>
    <n v="0.61259090909090907"/>
    <x v="6"/>
  </r>
  <r>
    <x v="12"/>
    <d v="2021-11-01T00:00:00"/>
    <n v="665.6"/>
    <n v="1100"/>
    <n v="1.6526442307692306"/>
    <n v="0.60509090909090912"/>
    <x v="6"/>
  </r>
  <r>
    <x v="12"/>
    <d v="2021-12-01T00:00:00"/>
    <n v="666.26"/>
    <n v="1100"/>
    <n v="1.6510071143397473"/>
    <n v="0.60569090909090906"/>
    <x v="6"/>
  </r>
  <r>
    <x v="12"/>
    <d v="2022-01-01T00:00:00"/>
    <n v="692.83"/>
    <n v="1212"/>
    <n v="1.7493468816304143"/>
    <n v="0.57164191419141919"/>
    <x v="7"/>
  </r>
  <r>
    <x v="12"/>
    <d v="2022-02-01T00:00:00"/>
    <n v="697.37"/>
    <n v="1212"/>
    <n v="1.7379583291509528"/>
    <n v="0.57538778877887786"/>
    <x v="7"/>
  </r>
  <r>
    <x v="12"/>
    <d v="2022-03-01T00:00:00"/>
    <n v="750.71"/>
    <n v="1212"/>
    <n v="1.6144716335202673"/>
    <n v="0.61939768976897691"/>
    <x v="7"/>
  </r>
  <r>
    <x v="12"/>
    <d v="2022-04-01T00:00:00"/>
    <n v="768.42"/>
    <n v="1212"/>
    <n v="1.5772624346060748"/>
    <n v="0.63400990099009902"/>
    <x v="7"/>
  </r>
  <r>
    <x v="12"/>
    <d v="2022-05-01T00:00:00"/>
    <n v="723.55"/>
    <n v="1212"/>
    <n v="1.6750742865040427"/>
    <n v="0.59698844884488445"/>
    <x v="7"/>
  </r>
  <r>
    <x v="12"/>
    <d v="2022-06-01T00:00:00"/>
    <n v="733.14"/>
    <n v="1212"/>
    <n v="1.6531631066372043"/>
    <n v="0.60490099009900988"/>
    <x v="7"/>
  </r>
  <r>
    <x v="12"/>
    <d v="2022-07-01T00:00:00"/>
    <n v="723.75"/>
    <n v="1212"/>
    <n v="1.6746113989637306"/>
    <n v="0.59715346534653468"/>
    <x v="7"/>
  </r>
  <r>
    <x v="12"/>
    <d v="2022-08-01T00:00:00"/>
    <n v="717.82"/>
    <n v="1212"/>
    <n v="1.6884455713131425"/>
    <n v="0.59226072607260727"/>
    <x v="7"/>
  </r>
  <r>
    <x v="12"/>
    <d v="2022-09-01T00:00:00"/>
    <n v="714.14"/>
    <n v="1212"/>
    <n v="1.6971462178284371"/>
    <n v="0.58922442244224427"/>
    <x v="7"/>
  </r>
  <r>
    <x v="12"/>
    <d v="2022-10-01T00:00:00"/>
    <n v="736.28"/>
    <n v="1212"/>
    <n v="1.6461128918346282"/>
    <n v="0.60749174917491744"/>
    <x v="7"/>
  </r>
  <r>
    <x v="12"/>
    <d v="2022-11-01T00:00:00"/>
    <n v="749.25"/>
    <n v="1212"/>
    <n v="1.6176176176176176"/>
    <n v="0.61819306930693074"/>
    <x v="7"/>
  </r>
  <r>
    <x v="12"/>
    <d v="2022-12-01T00:00:00"/>
    <n v="752.74"/>
    <n v="1212"/>
    <n v="1.6101177033238567"/>
    <n v="0.62107260726072611"/>
    <x v="7"/>
  </r>
  <r>
    <x v="12"/>
    <d v="2023-01-01T00:00:00"/>
    <n v="770.19"/>
    <n v="1302"/>
    <n v="1.6904919565302068"/>
    <n v="0.59154377880184339"/>
    <x v="8"/>
  </r>
  <r>
    <x v="12"/>
    <d v="2023-02-01T00:00:00"/>
    <n v="745.96"/>
    <n v="1302"/>
    <n v="1.7454018982251058"/>
    <n v="0.57293394777265749"/>
    <x v="8"/>
  </r>
  <r>
    <x v="12"/>
    <d v="2023-03-01T00:00:00"/>
    <n v="735.62"/>
    <n v="1302"/>
    <n v="1.7699355645577879"/>
    <n v="0.56499231950844853"/>
    <x v="8"/>
  </r>
  <r>
    <x v="12"/>
    <d v="2023-04-01T00:00:00"/>
    <n v="750.77"/>
    <n v="1302"/>
    <n v="1.7342195346111327"/>
    <n v="0.57662826420890934"/>
    <x v="8"/>
  </r>
  <r>
    <x v="12"/>
    <d v="2023-05-01T00:00:00"/>
    <n v="749.76"/>
    <n v="1320"/>
    <n v="1.7605633802816902"/>
    <n v="0.56799999999999995"/>
    <x v="8"/>
  </r>
  <r>
    <x v="12"/>
    <d v="2023-06-01T00:00:00"/>
    <n v="741"/>
    <n v="1320"/>
    <n v="1.7813765182186234"/>
    <n v="0.5613636363636364"/>
    <x v="8"/>
  </r>
  <r>
    <x v="12"/>
    <d v="2023-07-01T00:00:00"/>
    <n v="738.12"/>
    <n v="1320"/>
    <n v="1.788327101284344"/>
    <n v="0.55918181818181822"/>
    <x v="8"/>
  </r>
  <r>
    <x v="12"/>
    <d v="2023-08-01T00:00:00"/>
    <n v="722.78"/>
    <n v="1320"/>
    <n v="1.8262818561664684"/>
    <n v="0.54756060606060608"/>
    <x v="8"/>
  </r>
  <r>
    <x v="12"/>
    <d v="2023-09-01T00:00:00"/>
    <n v="719.92"/>
    <n v="1320"/>
    <n v="1.8335370596732972"/>
    <n v="0.54539393939393932"/>
    <x v="8"/>
  </r>
  <r>
    <x v="12"/>
    <d v="2023-10-01T00:00:00"/>
    <n v="721.17"/>
    <n v="1320"/>
    <n v="1.8303589999584011"/>
    <n v="0.54634090909090904"/>
    <x v="8"/>
  </r>
  <r>
    <x v="12"/>
    <d v="2023-11-01T00:00:00"/>
    <n v="728.27"/>
    <n v="1320"/>
    <n v="1.8125145893693273"/>
    <n v="0.55171969696969692"/>
    <x v="8"/>
  </r>
  <r>
    <x v="12"/>
    <d v="2023-12-01T00:00:00"/>
    <n v="738.61"/>
    <n v="1320"/>
    <n v="1.7871407102530428"/>
    <n v="0.55955303030303027"/>
    <x v="8"/>
  </r>
  <r>
    <x v="12"/>
    <d v="2024-01-01T00:00:00"/>
    <n v="791.77"/>
    <n v="1412"/>
    <n v="1.7833461737625826"/>
    <n v="0.56074362606232298"/>
    <x v="9"/>
  </r>
  <r>
    <x v="12"/>
    <d v="2024-02-01T00:00:00"/>
    <n v="832.8"/>
    <n v="1412"/>
    <n v="1.6954851104707014"/>
    <n v="0.58980169971671381"/>
    <x v="9"/>
  </r>
  <r>
    <x v="12"/>
    <d v="2024-03-01T00:00:00"/>
    <n v="812.25"/>
    <n v="1412"/>
    <n v="1.7383810403200985"/>
    <n v="0.5752478753541076"/>
    <x v="9"/>
  </r>
  <r>
    <x v="12"/>
    <d v="2024-04-01T00:00:00"/>
    <n v="801.15"/>
    <n v="1412"/>
    <n v="1.762466454471697"/>
    <n v="0.5673866855524079"/>
    <x v="9"/>
  </r>
  <r>
    <x v="12"/>
    <d v="2024-05-01T00:00:00"/>
    <n v="796.67"/>
    <n v="1412"/>
    <n v="1.7723775214329649"/>
    <n v="0.56421388101983005"/>
    <x v="9"/>
  </r>
  <r>
    <x v="12"/>
    <d v="2024-06-01T00:00:00"/>
    <n v="814.38"/>
    <n v="1412"/>
    <n v="1.7338343279550088"/>
    <n v="0.57675637393767709"/>
    <x v="9"/>
  </r>
  <r>
    <x v="12"/>
    <d v="2024-07-01T00:00:00"/>
    <n v="757.64"/>
    <n v="1412"/>
    <n v="1.8636819597698115"/>
    <n v="0.53657223796033993"/>
    <x v="9"/>
  </r>
  <r>
    <x v="12"/>
    <d v="2024-08-01T00:00:00"/>
    <n v="745.64"/>
    <n v="1412"/>
    <n v="1.8936752320154497"/>
    <n v="0.52807365439093479"/>
    <x v="9"/>
  </r>
  <r>
    <x v="12"/>
    <d v="2024-09-01T00:00:00"/>
    <n v="757.3"/>
    <n v="1412"/>
    <n v="1.8645186848012678"/>
    <n v="0.5363314447592068"/>
    <x v="9"/>
  </r>
  <r>
    <x v="12"/>
    <d v="2024-10-01T00:00:00"/>
    <n v="773.7"/>
    <n v="1412"/>
    <n v="1.8249967687734263"/>
    <n v="0.54794617563739378"/>
    <x v="9"/>
  </r>
  <r>
    <x v="12"/>
    <d v="2024-11-01T00:00:00"/>
    <n v="777.66"/>
    <n v="1412"/>
    <n v="1.815703520818867"/>
    <n v="0.55075070821529748"/>
    <x v="9"/>
  </r>
  <r>
    <x v="12"/>
    <d v="2024-12-01T00:00:00"/>
    <n v="779.84"/>
    <n v="1412"/>
    <n v="1.8106278210915059"/>
    <n v="0.55229461756373943"/>
    <x v="9"/>
  </r>
  <r>
    <x v="12"/>
    <d v="2025-01-01T00:00:00"/>
    <n v="802.88"/>
    <n v="1518"/>
    <n v="1.8906935033878038"/>
    <n v="0.52890645586297758"/>
    <x v="10"/>
  </r>
  <r>
    <x v="12"/>
    <d v="2025-02-01T00:00:00"/>
    <n v="814.9"/>
    <n v="1518"/>
    <n v="1.8628052521781815"/>
    <n v="0.53682476943346502"/>
    <x v="10"/>
  </r>
  <r>
    <x v="12"/>
    <d v="2025-03-01T00:00:00"/>
    <n v="835.5"/>
    <n v="1518"/>
    <n v="1.8168761220825853"/>
    <n v="0.55039525691699609"/>
    <x v="10"/>
  </r>
  <r>
    <x v="12"/>
    <d v="2025-04-01T00:00:00"/>
    <n v="849.7"/>
    <n v="1518"/>
    <n v="1.7865128869012592"/>
    <n v="0.55974967061923586"/>
    <x v="10"/>
  </r>
  <r>
    <x v="12"/>
    <d v="2025-05-01T00:00:00"/>
    <n v="847.99"/>
    <n v="1518"/>
    <n v="1.7901154494746401"/>
    <n v="0.55862318840579706"/>
    <x v="10"/>
  </r>
  <r>
    <x v="12"/>
    <d v="2025-06-01T00:00:00"/>
    <n v="843.27"/>
    <n v="1518"/>
    <n v="1.8001351880180725"/>
    <n v="0.55551383399209486"/>
    <x v="10"/>
  </r>
  <r>
    <x v="13"/>
    <d v="2015-01-01T00:00:00"/>
    <n v="299.17"/>
    <n v="788"/>
    <n v="2.6339539392318749"/>
    <n v="0.37965736040609138"/>
    <x v="0"/>
  </r>
  <r>
    <x v="13"/>
    <d v="2015-02-01T00:00:00"/>
    <n v="311.64999999999998"/>
    <n v="788"/>
    <n v="2.5284774586876306"/>
    <n v="0.395494923857868"/>
    <x v="0"/>
  </r>
  <r>
    <x v="13"/>
    <d v="2015-03-01T00:00:00"/>
    <n v="302.97000000000003"/>
    <n v="788"/>
    <n v="2.600917582598937"/>
    <n v="0.38447969543147209"/>
    <x v="0"/>
  </r>
  <r>
    <x v="13"/>
    <d v="2015-04-01T00:00:00"/>
    <n v="314.44"/>
    <n v="788"/>
    <n v="2.5060424882330494"/>
    <n v="0.39903553299492384"/>
    <x v="0"/>
  </r>
  <r>
    <x v="13"/>
    <d v="2015-05-01T00:00:00"/>
    <n v="348.04"/>
    <n v="788"/>
    <n v="2.2641075738420868"/>
    <n v="0.44167512690355332"/>
    <x v="0"/>
  </r>
  <r>
    <x v="13"/>
    <d v="2015-06-01T00:00:00"/>
    <n v="320.02999999999997"/>
    <n v="788"/>
    <n v="2.462269162266038"/>
    <n v="0.40612944162436543"/>
    <x v="0"/>
  </r>
  <r>
    <x v="13"/>
    <d v="2015-07-01T00:00:00"/>
    <n v="317.89999999999998"/>
    <n v="788"/>
    <n v="2.478766907832652"/>
    <n v="0.40342639593908625"/>
    <x v="0"/>
  </r>
  <r>
    <x v="13"/>
    <d v="2015-08-01T00:00:00"/>
    <n v="305.11"/>
    <n v="788"/>
    <n v="2.582675100783324"/>
    <n v="0.38719543147208124"/>
    <x v="0"/>
  </r>
  <r>
    <x v="13"/>
    <d v="2015-09-01T00:00:00"/>
    <n v="297.07"/>
    <n v="788"/>
    <n v="2.6525734675329047"/>
    <n v="0.376992385786802"/>
    <x v="0"/>
  </r>
  <r>
    <x v="13"/>
    <d v="2015-10-01T00:00:00"/>
    <n v="297.83"/>
    <n v="788"/>
    <n v="2.645804653661485"/>
    <n v="0.37795685279187813"/>
    <x v="0"/>
  </r>
  <r>
    <x v="13"/>
    <d v="2015-11-01T00:00:00"/>
    <n v="323.23"/>
    <n v="788"/>
    <n v="2.4378925223525041"/>
    <n v="0.41019035532994924"/>
    <x v="0"/>
  </r>
  <r>
    <x v="13"/>
    <d v="2015-12-01T00:00:00"/>
    <n v="331.2"/>
    <n v="788"/>
    <n v="2.3792270531400965"/>
    <n v="0.42030456852791875"/>
    <x v="0"/>
  </r>
  <r>
    <x v="13"/>
    <d v="2016-01-01T00:00:00"/>
    <n v="349.26"/>
    <n v="880"/>
    <n v="2.5196128958369126"/>
    <n v="0.39688636363636365"/>
    <x v="1"/>
  </r>
  <r>
    <x v="13"/>
    <d v="2016-02-01T00:00:00"/>
    <n v="337.84"/>
    <n v="880"/>
    <n v="2.604783329386692"/>
    <n v="0.38390909090909087"/>
    <x v="1"/>
  </r>
  <r>
    <x v="13"/>
    <d v="2016-03-01T00:00:00"/>
    <n v="348.71"/>
    <n v="880"/>
    <n v="2.5235869347021884"/>
    <n v="0.39626136363636361"/>
    <x v="1"/>
  </r>
  <r>
    <x v="13"/>
    <d v="2016-04-01T00:00:00"/>
    <n v="344.29"/>
    <n v="880"/>
    <n v="2.5559847802724445"/>
    <n v="0.39123863636363637"/>
    <x v="1"/>
  </r>
  <r>
    <x v="13"/>
    <d v="2016-05-01T00:00:00"/>
    <n v="354.12"/>
    <n v="880"/>
    <n v="2.4850333220377272"/>
    <n v="0.40240909090909094"/>
    <x v="1"/>
  </r>
  <r>
    <x v="13"/>
    <d v="2016-06-01T00:00:00"/>
    <n v="365.77"/>
    <n v="880"/>
    <n v="2.4058834786887937"/>
    <n v="0.41564772727272725"/>
    <x v="1"/>
  </r>
  <r>
    <x v="13"/>
    <d v="2016-07-01T00:00:00"/>
    <n v="380.03"/>
    <n v="880"/>
    <n v="2.3156066626318976"/>
    <n v="0.43185227272727272"/>
    <x v="1"/>
  </r>
  <r>
    <x v="13"/>
    <d v="2016-08-01T00:00:00"/>
    <n v="376.45"/>
    <n v="880"/>
    <n v="2.3376278390224465"/>
    <n v="0.42778409090909092"/>
    <x v="1"/>
  </r>
  <r>
    <x v="13"/>
    <d v="2016-09-01T00:00:00"/>
    <n v="381.93"/>
    <n v="880"/>
    <n v="2.304087136386249"/>
    <n v="0.43401136363636367"/>
    <x v="1"/>
  </r>
  <r>
    <x v="13"/>
    <d v="2016-10-01T00:00:00"/>
    <n v="375.6"/>
    <n v="880"/>
    <n v="2.3429179978700745"/>
    <n v="0.42681818181818182"/>
    <x v="1"/>
  </r>
  <r>
    <x v="13"/>
    <d v="2016-11-01T00:00:00"/>
    <n v="358.77"/>
    <n v="880"/>
    <n v="2.4528249296206486"/>
    <n v="0.40769318181818182"/>
    <x v="1"/>
  </r>
  <r>
    <x v="13"/>
    <d v="2016-12-01T00:00:00"/>
    <n v="355.15"/>
    <n v="880"/>
    <n v="2.4778262705898917"/>
    <n v="0.40357954545454544"/>
    <x v="1"/>
  </r>
  <r>
    <x v="13"/>
    <d v="2017-01-01T00:00:00"/>
    <n v="359.75"/>
    <n v="937"/>
    <n v="2.6045865184155663"/>
    <n v="0.38393810032017078"/>
    <x v="2"/>
  </r>
  <r>
    <x v="13"/>
    <d v="2017-02-01T00:00:00"/>
    <n v="349.4"/>
    <n v="937"/>
    <n v="2.6817401259301663"/>
    <n v="0.37289220917822835"/>
    <x v="2"/>
  </r>
  <r>
    <x v="13"/>
    <d v="2017-03-01T00:00:00"/>
    <n v="349.66"/>
    <n v="937"/>
    <n v="2.6797460390093231"/>
    <n v="0.37316969050160087"/>
    <x v="2"/>
  </r>
  <r>
    <x v="13"/>
    <d v="2017-04-01T00:00:00"/>
    <n v="366.63"/>
    <n v="937"/>
    <n v="2.5557101164661922"/>
    <n v="0.39128068303094982"/>
    <x v="2"/>
  </r>
  <r>
    <x v="13"/>
    <d v="2017-05-01T00:00:00"/>
    <n v="351.31"/>
    <n v="937"/>
    <n v="2.6671600580683728"/>
    <n v="0.37493062966915691"/>
    <x v="2"/>
  </r>
  <r>
    <x v="13"/>
    <d v="2017-06-01T00:00:00"/>
    <n v="350.22"/>
    <n v="937"/>
    <n v="2.6754611387128087"/>
    <n v="0.37376734258271083"/>
    <x v="2"/>
  </r>
  <r>
    <x v="13"/>
    <d v="2017-07-01T00:00:00"/>
    <n v="357.28"/>
    <n v="937"/>
    <n v="2.6225929243170625"/>
    <n v="0.38130202774813232"/>
    <x v="2"/>
  </r>
  <r>
    <x v="13"/>
    <d v="2017-08-01T00:00:00"/>
    <n v="332.1"/>
    <n v="937"/>
    <n v="2.8214393255043659"/>
    <n v="0.3544290288153682"/>
    <x v="2"/>
  </r>
  <r>
    <x v="13"/>
    <d v="2017-09-01T00:00:00"/>
    <n v="318.52"/>
    <n v="937"/>
    <n v="2.9417305035790533"/>
    <n v="0.33993596584845248"/>
    <x v="2"/>
  </r>
  <r>
    <x v="13"/>
    <d v="2017-10-01T00:00:00"/>
    <n v="318.31"/>
    <n v="937"/>
    <n v="2.9436712638622726"/>
    <n v="0.3397118463180363"/>
    <x v="2"/>
  </r>
  <r>
    <x v="13"/>
    <d v="2017-11-01T00:00:00"/>
    <n v="315.98"/>
    <n v="937"/>
    <n v="2.9653775555414899"/>
    <n v="0.33722518676627539"/>
    <x v="2"/>
  </r>
  <r>
    <x v="13"/>
    <d v="2017-12-01T00:00:00"/>
    <n v="316.64999999999998"/>
    <n v="937"/>
    <n v="2.9591031106900365"/>
    <n v="0.337940234791889"/>
    <x v="2"/>
  </r>
  <r>
    <x v="13"/>
    <d v="2018-01-01T00:00:00"/>
    <n v="333.98"/>
    <n v="954"/>
    <n v="2.8564584705670995"/>
    <n v="0.35008385744234805"/>
    <x v="3"/>
  </r>
  <r>
    <x v="13"/>
    <d v="2018-02-01T00:00:00"/>
    <n v="336.59"/>
    <n v="954"/>
    <n v="2.8343088029947414"/>
    <n v="0.35281970649895178"/>
    <x v="3"/>
  </r>
  <r>
    <x v="13"/>
    <d v="2018-03-01T00:00:00"/>
    <n v="322.86"/>
    <n v="954"/>
    <n v="2.9548411076008176"/>
    <n v="0.33842767295597487"/>
    <x v="3"/>
  </r>
  <r>
    <x v="13"/>
    <d v="2018-04-01T00:00:00"/>
    <n v="325.42"/>
    <n v="954"/>
    <n v="2.9315960912052117"/>
    <n v="0.34111111111111114"/>
    <x v="3"/>
  </r>
  <r>
    <x v="13"/>
    <d v="2018-05-01T00:00:00"/>
    <n v="327.56"/>
    <n v="954"/>
    <n v="2.9124435217975333"/>
    <n v="0.34335429769392034"/>
    <x v="3"/>
  </r>
  <r>
    <x v="13"/>
    <d v="2018-06-01T00:00:00"/>
    <n v="333"/>
    <n v="954"/>
    <n v="2.8648648648648649"/>
    <n v="0.34905660377358488"/>
    <x v="3"/>
  </r>
  <r>
    <x v="13"/>
    <d v="2018-07-01T00:00:00"/>
    <n v="321.62"/>
    <n v="954"/>
    <n v="2.9662334431938313"/>
    <n v="0.33712788259958071"/>
    <x v="3"/>
  </r>
  <r>
    <x v="13"/>
    <d v="2018-08-01T00:00:00"/>
    <n v="311.92"/>
    <n v="954"/>
    <n v="3.0584765324442165"/>
    <n v="0.32696016771488473"/>
    <x v="3"/>
  </r>
  <r>
    <x v="13"/>
    <d v="2018-09-01T00:00:00"/>
    <n v="315.86"/>
    <n v="954"/>
    <n v="3.0203254606471219"/>
    <n v="0.33109014675052412"/>
    <x v="3"/>
  </r>
  <r>
    <x v="13"/>
    <d v="2018-10-01T00:00:00"/>
    <n v="331.02"/>
    <n v="954"/>
    <n v="2.8820010875475806"/>
    <n v="0.34698113207547165"/>
    <x v="3"/>
  </r>
  <r>
    <x v="13"/>
    <d v="2018-11-01T00:00:00"/>
    <n v="330.17"/>
    <n v="954"/>
    <n v="2.8894206015083137"/>
    <n v="0.34609014675052413"/>
    <x v="3"/>
  </r>
  <r>
    <x v="13"/>
    <d v="2018-12-01T00:00:00"/>
    <n v="343.82"/>
    <n v="954"/>
    <n v="2.7747076958873831"/>
    <n v="0.36039832285115303"/>
    <x v="3"/>
  </r>
  <r>
    <x v="13"/>
    <d v="2019-01-01T00:00:00"/>
    <n v="353.43"/>
    <n v="998"/>
    <n v="2.8237557649322356"/>
    <n v="0.3541382765531062"/>
    <x v="4"/>
  </r>
  <r>
    <x v="13"/>
    <d v="2019-02-01T00:00:00"/>
    <n v="362.93"/>
    <n v="998"/>
    <n v="2.7498415672443723"/>
    <n v="0.36365731462925854"/>
    <x v="4"/>
  </r>
  <r>
    <x v="13"/>
    <d v="2019-03-01T00:00:00"/>
    <n v="382.35"/>
    <n v="998"/>
    <n v="2.610173924414803"/>
    <n v="0.38311623246492987"/>
    <x v="4"/>
  </r>
  <r>
    <x v="13"/>
    <d v="2019-04-01T00:00:00"/>
    <n v="396.75"/>
    <n v="998"/>
    <n v="2.5154379332073096"/>
    <n v="0.39754509018036072"/>
    <x v="4"/>
  </r>
  <r>
    <x v="13"/>
    <d v="2019-05-01T00:00:00"/>
    <n v="392.97"/>
    <n v="998"/>
    <n v="2.5396340687584291"/>
    <n v="0.39375751503006012"/>
    <x v="4"/>
  </r>
  <r>
    <x v="13"/>
    <d v="2019-06-01T00:00:00"/>
    <n v="384.76"/>
    <n v="998"/>
    <n v="2.5938247219045638"/>
    <n v="0.38553106212424848"/>
    <x v="4"/>
  </r>
  <r>
    <x v="13"/>
    <d v="2019-07-01T00:00:00"/>
    <n v="372.25"/>
    <n v="998"/>
    <n v="2.6809939556749498"/>
    <n v="0.37299599198396793"/>
    <x v="4"/>
  </r>
  <r>
    <x v="13"/>
    <d v="2019-08-01T00:00:00"/>
    <n v="350.75"/>
    <n v="998"/>
    <n v="2.8453314326443335"/>
    <n v="0.35145290581162325"/>
    <x v="4"/>
  </r>
  <r>
    <x v="13"/>
    <d v="2019-09-01T00:00:00"/>
    <n v="345.04"/>
    <n v="998"/>
    <n v="2.8924182703454671"/>
    <n v="0.34573146292585172"/>
    <x v="4"/>
  </r>
  <r>
    <x v="13"/>
    <d v="2019-10-01T00:00:00"/>
    <n v="347.65"/>
    <n v="998"/>
    <n v="2.870703293542356"/>
    <n v="0.34834669338677354"/>
    <x v="4"/>
  </r>
  <r>
    <x v="13"/>
    <d v="2019-11-01T00:00:00"/>
    <n v="341.45"/>
    <n v="998"/>
    <n v="2.9228291111436522"/>
    <n v="0.34213426853707413"/>
    <x v="4"/>
  </r>
  <r>
    <x v="13"/>
    <d v="2019-12-01T00:00:00"/>
    <n v="360.51"/>
    <n v="998"/>
    <n v="2.7683004632326429"/>
    <n v="0.36123246492985972"/>
    <x v="4"/>
  </r>
  <r>
    <x v="13"/>
    <d v="2020-01-01T00:00:00"/>
    <n v="376.49"/>
    <n v="1039"/>
    <n v="2.7597014528938351"/>
    <n v="0.36235803657362847"/>
    <x v="5"/>
  </r>
  <r>
    <x v="13"/>
    <d v="2020-02-01T00:00:00"/>
    <n v="395.49"/>
    <n v="1045"/>
    <n v="2.642291840501656"/>
    <n v="0.37845933014354066"/>
    <x v="5"/>
  </r>
  <r>
    <x v="13"/>
    <d v="2020-03-01T00:00:00"/>
    <n v="408.06"/>
    <n v="1045"/>
    <n v="2.560897907170514"/>
    <n v="0.39048803827751194"/>
    <x v="5"/>
  </r>
  <r>
    <x v="13"/>
    <d v="2020-04-01T00:00:00"/>
    <n v="425.12"/>
    <n v="1045"/>
    <n v="2.458129469326308"/>
    <n v="0.40681339712918663"/>
    <x v="5"/>
  </r>
  <r>
    <x v="13"/>
    <d v="2020-05-01T00:00:00"/>
    <n v="410.33"/>
    <n v="1045"/>
    <n v="2.546730680184242"/>
    <n v="0.39266028708133971"/>
    <x v="5"/>
  </r>
  <r>
    <x v="13"/>
    <d v="2020-06-01T00:00:00"/>
    <n v="419.18"/>
    <n v="1045"/>
    <n v="2.4929624504985926"/>
    <n v="0.40112918660287084"/>
    <x v="5"/>
  </r>
  <r>
    <x v="13"/>
    <d v="2020-07-01T00:00:00"/>
    <n v="415.22"/>
    <n v="1045"/>
    <n v="2.5167381147343577"/>
    <n v="0.39733971291866033"/>
    <x v="5"/>
  </r>
  <r>
    <x v="13"/>
    <d v="2020-08-01T00:00:00"/>
    <n v="418.72"/>
    <n v="1045"/>
    <n v="2.4957011845624759"/>
    <n v="0.40068899521531104"/>
    <x v="5"/>
  </r>
  <r>
    <x v="13"/>
    <d v="2020-09-01T00:00:00"/>
    <n v="459.33"/>
    <n v="1045"/>
    <n v="2.2750527942873315"/>
    <n v="0.43955023923444975"/>
    <x v="5"/>
  </r>
  <r>
    <x v="13"/>
    <d v="2020-10-01T00:00:00"/>
    <n v="454.5"/>
    <n v="1045"/>
    <n v="2.2992299229922994"/>
    <n v="0.43492822966507177"/>
    <x v="5"/>
  </r>
  <r>
    <x v="13"/>
    <d v="2020-11-01T00:00:00"/>
    <n v="488.1"/>
    <n v="1045"/>
    <n v="2.1409547223929524"/>
    <n v="0.46708133971291871"/>
    <x v="5"/>
  </r>
  <r>
    <x v="13"/>
    <d v="2020-12-01T00:00:00"/>
    <n v="479.08"/>
    <n v="1045"/>
    <n v="2.1812640895048845"/>
    <n v="0.45844976076555022"/>
    <x v="5"/>
  </r>
  <r>
    <x v="13"/>
    <d v="2021-01-01T00:00:00"/>
    <n v="488.94"/>
    <n v="1100"/>
    <n v="2.2497647973166441"/>
    <n v="0.4444909090909091"/>
    <x v="6"/>
  </r>
  <r>
    <x v="13"/>
    <d v="2021-02-01T00:00:00"/>
    <n v="479.19"/>
    <n v="1100"/>
    <n v="2.2955403910766083"/>
    <n v="0.43562727272727275"/>
    <x v="6"/>
  </r>
  <r>
    <x v="13"/>
    <d v="2021-03-01T00:00:00"/>
    <n v="461.28"/>
    <n v="1100"/>
    <n v="2.3846687478321194"/>
    <n v="0.41934545454545452"/>
    <x v="6"/>
  </r>
  <r>
    <x v="13"/>
    <d v="2021-04-01T00:00:00"/>
    <n v="457.56"/>
    <n v="1100"/>
    <n v="2.4040562986275025"/>
    <n v="0.41596363636363637"/>
    <x v="6"/>
  </r>
  <r>
    <x v="13"/>
    <d v="2021-05-01T00:00:00"/>
    <n v="470.14"/>
    <n v="1100"/>
    <n v="2.3397285914833881"/>
    <n v="0.4274"/>
    <x v="6"/>
  </r>
  <r>
    <x v="13"/>
    <d v="2021-06-01T00:00:00"/>
    <n v="467.3"/>
    <n v="1100"/>
    <n v="2.353948213139311"/>
    <n v="0.42481818181818182"/>
    <x v="6"/>
  </r>
  <r>
    <x v="13"/>
    <d v="2021-07-01T00:00:00"/>
    <n v="482.58"/>
    <n v="1100"/>
    <n v="2.279414812051888"/>
    <n v="0.43870909090909088"/>
    <x v="6"/>
  </r>
  <r>
    <x v="13"/>
    <d v="2021-08-01T00:00:00"/>
    <n v="485.44"/>
    <n v="1100"/>
    <n v="2.2659854976928147"/>
    <n v="0.44130909090909093"/>
    <x v="6"/>
  </r>
  <r>
    <x v="13"/>
    <d v="2021-09-01T00:00:00"/>
    <n v="478.86"/>
    <n v="1100"/>
    <n v="2.2971223322056549"/>
    <n v="0.43532727272727273"/>
    <x v="6"/>
  </r>
  <r>
    <x v="13"/>
    <d v="2021-10-01T00:00:00"/>
    <n v="487.59"/>
    <n v="1100"/>
    <n v="2.2559937652535944"/>
    <n v="0.44326363636363636"/>
    <x v="6"/>
  </r>
  <r>
    <x v="13"/>
    <d v="2021-11-01T00:00:00"/>
    <n v="505.94"/>
    <n v="1100"/>
    <n v="2.1741708502984545"/>
    <n v="0.45994545454545455"/>
    <x v="6"/>
  </r>
  <r>
    <x v="13"/>
    <d v="2021-12-01T00:00:00"/>
    <n v="518.21"/>
    <n v="1100"/>
    <n v="2.1226915729144555"/>
    <n v="0.47110000000000002"/>
    <x v="6"/>
  </r>
  <r>
    <x v="13"/>
    <d v="2022-01-01T00:00:00"/>
    <n v="540.01"/>
    <n v="1212"/>
    <n v="2.2444028814281216"/>
    <n v="0.44555280528052804"/>
    <x v="7"/>
  </r>
  <r>
    <x v="13"/>
    <d v="2022-02-01T00:00:00"/>
    <n v="552.29999999999995"/>
    <n v="1212"/>
    <n v="2.1944595328625747"/>
    <n v="0.45569306930693065"/>
    <x v="7"/>
  </r>
  <r>
    <x v="13"/>
    <d v="2022-03-01T00:00:00"/>
    <n v="560.39"/>
    <n v="1212"/>
    <n v="2.1627794928531916"/>
    <n v="0.46236798679867985"/>
    <x v="7"/>
  </r>
  <r>
    <x v="13"/>
    <d v="2022-04-01T00:00:00"/>
    <n v="575.84"/>
    <n v="1212"/>
    <n v="2.1047513198110583"/>
    <n v="0.47511551155115517"/>
    <x v="7"/>
  </r>
  <r>
    <x v="13"/>
    <d v="2022-05-01T00:00:00"/>
    <n v="578.88"/>
    <n v="1212"/>
    <n v="2.0936981757877282"/>
    <n v="0.4776237623762376"/>
    <x v="7"/>
  </r>
  <r>
    <x v="13"/>
    <d v="2022-06-01T00:00:00"/>
    <n v="580.82000000000005"/>
    <n v="1212"/>
    <n v="2.0867050032712369"/>
    <n v="0.47922442244224428"/>
    <x v="7"/>
  </r>
  <r>
    <x v="13"/>
    <d v="2022-07-01T00:00:00"/>
    <n v="586.54"/>
    <n v="1212"/>
    <n v="2.0663552357895454"/>
    <n v="0.48394389438943891"/>
    <x v="7"/>
  </r>
  <r>
    <x v="13"/>
    <d v="2022-08-01T00:00:00"/>
    <n v="576.92999999999995"/>
    <n v="1212"/>
    <n v="2.1007747907025118"/>
    <n v="0.47601485148514849"/>
    <x v="7"/>
  </r>
  <r>
    <x v="13"/>
    <d v="2022-09-01T00:00:00"/>
    <n v="560.30999999999995"/>
    <n v="1212"/>
    <n v="2.1630882904106659"/>
    <n v="0.46230198019801977"/>
    <x v="7"/>
  </r>
  <r>
    <x v="13"/>
    <d v="2022-10-01T00:00:00"/>
    <n v="562.59"/>
    <n v="1212"/>
    <n v="2.1543219751506424"/>
    <n v="0.46418316831683171"/>
    <x v="7"/>
  </r>
  <r>
    <x v="13"/>
    <d v="2022-11-01T00:00:00"/>
    <n v="550.66999999999996"/>
    <n v="1212"/>
    <n v="2.2009552000290555"/>
    <n v="0.45434818481848183"/>
    <x v="7"/>
  </r>
  <r>
    <x v="13"/>
    <d v="2022-12-01T00:00:00"/>
    <n v="570.70000000000005"/>
    <n v="1212"/>
    <n v="2.1237077273523739"/>
    <n v="0.47087458745874589"/>
    <x v="7"/>
  </r>
  <r>
    <x v="13"/>
    <d v="2023-01-01T00:00:00"/>
    <n v="594.83000000000004"/>
    <n v="1302"/>
    <n v="2.1888606828841852"/>
    <n v="0.45685867895545318"/>
    <x v="8"/>
  </r>
  <r>
    <x v="13"/>
    <d v="2023-02-01T00:00:00"/>
    <n v="596.88"/>
    <n v="1302"/>
    <n v="2.1813429835142744"/>
    <n v="0.45843317972350228"/>
    <x v="8"/>
  </r>
  <r>
    <x v="13"/>
    <d v="2023-03-01T00:00:00"/>
    <n v="591.4"/>
    <n v="1302"/>
    <n v="2.2015556307067974"/>
    <n v="0.45422427035330259"/>
    <x v="8"/>
  </r>
  <r>
    <x v="13"/>
    <d v="2023-04-01T00:00:00"/>
    <n v="585.99"/>
    <n v="1302"/>
    <n v="2.2218809194696156"/>
    <n v="0.45006912442396313"/>
    <x v="8"/>
  </r>
  <r>
    <x v="13"/>
    <d v="2023-05-01T00:00:00"/>
    <n v="594.32000000000005"/>
    <n v="1320"/>
    <n v="2.2210257100551889"/>
    <n v="0.45024242424242428"/>
    <x v="8"/>
  </r>
  <r>
    <x v="13"/>
    <d v="2023-06-01T00:00:00"/>
    <n v="595.84"/>
    <n v="1320"/>
    <n v="2.215359828141783"/>
    <n v="0.4513939393939394"/>
    <x v="8"/>
  </r>
  <r>
    <x v="13"/>
    <d v="2023-07-01T00:00:00"/>
    <n v="596.04"/>
    <n v="1320"/>
    <n v="2.2146164686933765"/>
    <n v="0.45154545454545453"/>
    <x v="8"/>
  </r>
  <r>
    <x v="13"/>
    <d v="2023-08-01T00:00:00"/>
    <n v="575.80999999999995"/>
    <n v="1320"/>
    <n v="2.2924228478143833"/>
    <n v="0.43621969696969692"/>
    <x v="8"/>
  </r>
  <r>
    <x v="13"/>
    <d v="2023-09-01T00:00:00"/>
    <n v="571.01"/>
    <n v="1320"/>
    <n v="2.3116933153534966"/>
    <n v="0.43258333333333332"/>
    <x v="8"/>
  </r>
  <r>
    <x v="13"/>
    <d v="2023-10-01T00:00:00"/>
    <n v="563.1"/>
    <n v="1320"/>
    <n v="2.3441662226957911"/>
    <n v="0.42659090909090913"/>
    <x v="8"/>
  </r>
  <r>
    <x v="13"/>
    <d v="2023-11-01T00:00:00"/>
    <n v="550.86"/>
    <n v="1320"/>
    <n v="2.3962531314671605"/>
    <n v="0.41731818181818181"/>
    <x v="8"/>
  </r>
  <r>
    <x v="13"/>
    <d v="2023-12-01T00:00:00"/>
    <n v="560.80999999999995"/>
    <n v="1320"/>
    <n v="2.3537383427542307"/>
    <n v="0.42485606060606057"/>
    <x v="8"/>
  </r>
  <r>
    <x v="13"/>
    <d v="2024-01-01T00:00:00"/>
    <n v="593.26"/>
    <n v="1412"/>
    <n v="2.3800694467855577"/>
    <n v="0.42015580736543906"/>
    <x v="9"/>
  </r>
  <r>
    <x v="13"/>
    <d v="2024-02-01T00:00:00"/>
    <n v="604.29999999999995"/>
    <n v="1412"/>
    <n v="2.3365877875227539"/>
    <n v="0.42797450424929173"/>
    <x v="9"/>
  </r>
  <r>
    <x v="13"/>
    <d v="2024-03-01T00:00:00"/>
    <n v="620.13"/>
    <n v="1412"/>
    <n v="2.2769419315304855"/>
    <n v="0.439185552407932"/>
    <x v="9"/>
  </r>
  <r>
    <x v="13"/>
    <d v="2024-04-01T00:00:00"/>
    <n v="640.12"/>
    <n v="1412"/>
    <n v="2.2058364056739359"/>
    <n v="0.45334277620396601"/>
    <x v="9"/>
  </r>
  <r>
    <x v="13"/>
    <d v="2024-05-01T00:00:00"/>
    <n v="623.04999999999995"/>
    <n v="1412"/>
    <n v="2.2662707647861331"/>
    <n v="0.44125354107648723"/>
    <x v="9"/>
  </r>
  <r>
    <x v="13"/>
    <d v="2024-06-01T00:00:00"/>
    <n v="613.22"/>
    <n v="1412"/>
    <n v="2.3025993933661653"/>
    <n v="0.43429178470254959"/>
    <x v="9"/>
  </r>
  <r>
    <x v="13"/>
    <d v="2024-07-01T00:00:00"/>
    <n v="579.75"/>
    <n v="1412"/>
    <n v="2.435532557136697"/>
    <n v="0.41058781869688388"/>
    <x v="9"/>
  </r>
  <r>
    <x v="13"/>
    <d v="2024-08-01T00:00:00"/>
    <n v="560.72"/>
    <n v="1412"/>
    <n v="2.5181908974176057"/>
    <n v="0.39711048158640228"/>
    <x v="9"/>
  </r>
  <r>
    <x v="13"/>
    <d v="2024-09-01T00:00:00"/>
    <n v="553.62"/>
    <n v="1412"/>
    <n v="2.5504858928506917"/>
    <n v="0.39208215297450427"/>
    <x v="9"/>
  </r>
  <r>
    <x v="13"/>
    <d v="2024-10-01T00:00:00"/>
    <n v="560.65"/>
    <n v="1412"/>
    <n v="2.5185053063408547"/>
    <n v="0.39706090651558074"/>
    <x v="9"/>
  </r>
  <r>
    <x v="13"/>
    <d v="2024-11-01T00:00:00"/>
    <n v="574.78"/>
    <n v="1412"/>
    <n v="2.4565920874073561"/>
    <n v="0.4070679886685552"/>
    <x v="9"/>
  </r>
  <r>
    <x v="13"/>
    <d v="2024-12-01T00:00:00"/>
    <n v="583.89"/>
    <n v="1412"/>
    <n v="2.4182637140557297"/>
    <n v="0.41351983002832859"/>
    <x v="9"/>
  </r>
  <r>
    <x v="13"/>
    <d v="2025-01-01T00:00:00"/>
    <n v="620.23"/>
    <n v="1518"/>
    <n v="2.4474791609564193"/>
    <n v="0.40858366271409752"/>
    <x v="10"/>
  </r>
  <r>
    <x v="13"/>
    <d v="2025-02-01T00:00:00"/>
    <n v="628.79999999999995"/>
    <n v="1518"/>
    <n v="2.4141221374045805"/>
    <n v="0.4142292490118577"/>
    <x v="10"/>
  </r>
  <r>
    <x v="13"/>
    <d v="2025-03-01T00:00:00"/>
    <n v="633.58000000000004"/>
    <n v="1518"/>
    <n v="2.3959089617727831"/>
    <n v="0.41737812911725958"/>
    <x v="10"/>
  </r>
  <r>
    <x v="13"/>
    <d v="2025-04-01T00:00:00"/>
    <n v="632.12"/>
    <n v="1518"/>
    <n v="2.4014427640321458"/>
    <n v="0.41641633728590249"/>
    <x v="10"/>
  </r>
  <r>
    <x v="13"/>
    <d v="2025-05-01T00:00:00"/>
    <n v="628.97"/>
    <n v="1518"/>
    <n v="2.4134696408413756"/>
    <n v="0.41434123847167326"/>
    <x v="10"/>
  </r>
  <r>
    <x v="13"/>
    <d v="2025-06-01T00:00:00"/>
    <n v="623.85"/>
    <n v="1518"/>
    <n v="2.43327723010339"/>
    <n v="0.41096837944664033"/>
    <x v="10"/>
  </r>
  <r>
    <x v="14"/>
    <d v="2015-01-01T00:00:00"/>
    <n v="371.22"/>
    <n v="788"/>
    <n v="2.1227304563331715"/>
    <n v="0.47109137055837569"/>
    <x v="0"/>
  </r>
  <r>
    <x v="14"/>
    <d v="2015-02-01T00:00:00"/>
    <n v="378.86"/>
    <n v="788"/>
    <n v="2.079923982473737"/>
    <n v="0.48078680203045687"/>
    <x v="0"/>
  </r>
  <r>
    <x v="14"/>
    <d v="2015-03-01T00:00:00"/>
    <n v="379.35"/>
    <n v="788"/>
    <n v="2.0772373797284827"/>
    <n v="0.48140862944162438"/>
    <x v="0"/>
  </r>
  <r>
    <x v="14"/>
    <d v="2015-04-01T00:00:00"/>
    <n v="387.05"/>
    <n v="788"/>
    <n v="2.0359126727812944"/>
    <n v="0.49118020304568527"/>
    <x v="0"/>
  </r>
  <r>
    <x v="14"/>
    <d v="2015-05-01T00:00:00"/>
    <n v="402.05"/>
    <n v="788"/>
    <n v="1.9599552294490734"/>
    <n v="0.5102157360406091"/>
    <x v="0"/>
  </r>
  <r>
    <x v="14"/>
    <d v="2015-06-01T00:00:00"/>
    <n v="392.77"/>
    <n v="788"/>
    <n v="2.0062632074751128"/>
    <n v="0.49843908629441624"/>
    <x v="0"/>
  </r>
  <r>
    <x v="14"/>
    <d v="2015-07-01T00:00:00"/>
    <n v="395.83"/>
    <n v="788"/>
    <n v="1.9907536063461588"/>
    <n v="0.50232233502538071"/>
    <x v="0"/>
  </r>
  <r>
    <x v="14"/>
    <d v="2015-08-01T00:00:00"/>
    <n v="386.04"/>
    <n v="788"/>
    <n v="2.0412392498186716"/>
    <n v="0.48989847715736046"/>
    <x v="0"/>
  </r>
  <r>
    <x v="14"/>
    <d v="2015-09-01T00:00:00"/>
    <n v="383.21"/>
    <n v="788"/>
    <n v="2.056313770517471"/>
    <n v="0.48630710659898474"/>
    <x v="0"/>
  </r>
  <r>
    <x v="14"/>
    <d v="2015-10-01T00:00:00"/>
    <n v="382.13"/>
    <n v="788"/>
    <n v="2.0621254546881951"/>
    <n v="0.48493654822335025"/>
    <x v="0"/>
  </r>
  <r>
    <x v="14"/>
    <d v="2015-11-01T00:00:00"/>
    <n v="399.21"/>
    <n v="788"/>
    <n v="1.9738984494376395"/>
    <n v="0.50661167512690353"/>
    <x v="0"/>
  </r>
  <r>
    <x v="14"/>
    <d v="2015-12-01T00:00:00"/>
    <n v="412.12"/>
    <n v="788"/>
    <n v="1.9120644472483743"/>
    <n v="0.52299492385786805"/>
    <x v="0"/>
  </r>
  <r>
    <x v="14"/>
    <d v="2016-01-01T00:00:00"/>
    <n v="448.31"/>
    <n v="880"/>
    <n v="1.9629274386027526"/>
    <n v="0.50944318181818182"/>
    <x v="1"/>
  </r>
  <r>
    <x v="14"/>
    <d v="2016-02-01T00:00:00"/>
    <n v="443.4"/>
    <n v="880"/>
    <n v="1.9846639603067209"/>
    <n v="0.50386363636363629"/>
    <x v="1"/>
  </r>
  <r>
    <x v="14"/>
    <d v="2016-03-01T00:00:00"/>
    <n v="444.11"/>
    <n v="880"/>
    <n v="1.9814910720317038"/>
    <n v="0.50467045454545456"/>
    <x v="1"/>
  </r>
  <r>
    <x v="14"/>
    <d v="2016-04-01T00:00:00"/>
    <n v="442.42"/>
    <n v="880"/>
    <n v="1.9890601690701144"/>
    <n v="0.50275000000000003"/>
    <x v="1"/>
  </r>
  <r>
    <x v="14"/>
    <d v="2016-05-01T00:00:00"/>
    <n v="449.7"/>
    <n v="880"/>
    <n v="1.9568601289748722"/>
    <n v="0.51102272727272724"/>
    <x v="1"/>
  </r>
  <r>
    <x v="14"/>
    <d v="2016-06-01T00:00:00"/>
    <n v="469.02"/>
    <n v="880"/>
    <n v="1.87625261182892"/>
    <n v="0.53297727272727269"/>
    <x v="1"/>
  </r>
  <r>
    <x v="14"/>
    <d v="2016-07-01T00:00:00"/>
    <n v="475.27"/>
    <n v="880"/>
    <n v="1.8515791024049488"/>
    <n v="0.5400795454545454"/>
    <x v="1"/>
  </r>
  <r>
    <x v="14"/>
    <d v="2016-08-01T00:00:00"/>
    <n v="475.11"/>
    <n v="880"/>
    <n v="1.8522026478078759"/>
    <n v="0.53989772727272733"/>
    <x v="1"/>
  </r>
  <r>
    <x v="14"/>
    <d v="2016-09-01T00:00:00"/>
    <n v="471.57"/>
    <n v="880"/>
    <n v="1.8661068346162819"/>
    <n v="0.53587499999999999"/>
    <x v="1"/>
  </r>
  <r>
    <x v="14"/>
    <d v="2016-10-01T00:00:00"/>
    <n v="469.55"/>
    <n v="880"/>
    <n v="1.8741348099243957"/>
    <n v="0.53357954545454545"/>
    <x v="1"/>
  </r>
  <r>
    <x v="14"/>
    <d v="2016-11-01T00:00:00"/>
    <n v="450.39"/>
    <n v="880"/>
    <n v="1.953862208308355"/>
    <n v="0.51180681818181817"/>
    <x v="1"/>
  </r>
  <r>
    <x v="14"/>
    <d v="2016-12-01T00:00:00"/>
    <n v="438.89"/>
    <n v="880"/>
    <n v="2.0050582150424936"/>
    <n v="0.49873863636363636"/>
    <x v="1"/>
  </r>
  <r>
    <x v="14"/>
    <d v="2017-01-01T00:00:00"/>
    <n v="435.89"/>
    <n v="937"/>
    <n v="2.1496249053660326"/>
    <n v="0.46519743863393809"/>
    <x v="2"/>
  </r>
  <r>
    <x v="14"/>
    <d v="2017-02-01T00:00:00"/>
    <n v="426.22"/>
    <n v="937"/>
    <n v="2.1983951949697338"/>
    <n v="0.4548772678762007"/>
    <x v="2"/>
  </r>
  <r>
    <x v="14"/>
    <d v="2017-03-01T00:00:00"/>
    <n v="435.34"/>
    <n v="937"/>
    <n v="2.1523406992235956"/>
    <n v="0.46461045891141939"/>
    <x v="2"/>
  </r>
  <r>
    <x v="14"/>
    <d v="2017-04-01T00:00:00"/>
    <n v="446.28"/>
    <n v="937"/>
    <n v="2.0995787398046071"/>
    <n v="0.47628601921024544"/>
    <x v="2"/>
  </r>
  <r>
    <x v="14"/>
    <d v="2017-05-01T00:00:00"/>
    <n v="458.93"/>
    <n v="937"/>
    <n v="2.0417057067526638"/>
    <n v="0.48978655282817501"/>
    <x v="2"/>
  </r>
  <r>
    <x v="14"/>
    <d v="2017-06-01T00:00:00"/>
    <n v="441.61"/>
    <n v="937"/>
    <n v="2.1217816625529311"/>
    <n v="0.47130202774813235"/>
    <x v="2"/>
  </r>
  <r>
    <x v="14"/>
    <d v="2017-07-01T00:00:00"/>
    <n v="445.83"/>
    <n v="937"/>
    <n v="2.1016979566202365"/>
    <n v="0.47580576307363925"/>
    <x v="2"/>
  </r>
  <r>
    <x v="14"/>
    <d v="2017-08-01T00:00:00"/>
    <n v="431.66"/>
    <n v="937"/>
    <n v="2.1706898948246303"/>
    <n v="0.46068303094983992"/>
    <x v="2"/>
  </r>
  <r>
    <x v="14"/>
    <d v="2017-09-01T00:00:00"/>
    <n v="421.02"/>
    <n v="937"/>
    <n v="2.2255474799296948"/>
    <n v="0.44932764140875131"/>
    <x v="2"/>
  </r>
  <r>
    <x v="14"/>
    <d v="2017-10-01T00:00:00"/>
    <n v="428.13"/>
    <n v="937"/>
    <n v="2.1885875785392286"/>
    <n v="0.45691568836712915"/>
    <x v="2"/>
  </r>
  <r>
    <x v="14"/>
    <d v="2017-11-01T00:00:00"/>
    <n v="423.23"/>
    <n v="937"/>
    <n v="2.2139262339626207"/>
    <n v="0.45168623265741731"/>
    <x v="2"/>
  </r>
  <r>
    <x v="14"/>
    <d v="2017-12-01T00:00:00"/>
    <n v="424.36"/>
    <n v="937"/>
    <n v="2.2080309171458197"/>
    <n v="0.45289220917822842"/>
    <x v="2"/>
  </r>
  <r>
    <x v="14"/>
    <d v="2018-01-01T00:00:00"/>
    <n v="439.2"/>
    <n v="954"/>
    <n v="2.1721311475409837"/>
    <n v="0.46037735849056605"/>
    <x v="3"/>
  </r>
  <r>
    <x v="14"/>
    <d v="2018-02-01T00:00:00"/>
    <n v="437.33"/>
    <n v="954"/>
    <n v="2.1814190656940982"/>
    <n v="0.45841719077568133"/>
    <x v="3"/>
  </r>
  <r>
    <x v="14"/>
    <d v="2018-03-01T00:00:00"/>
    <n v="437.84"/>
    <n v="954"/>
    <n v="2.1788781289968941"/>
    <n v="0.45895178197064984"/>
    <x v="3"/>
  </r>
  <r>
    <x v="14"/>
    <d v="2018-04-01T00:00:00"/>
    <n v="434.8"/>
    <n v="954"/>
    <n v="2.1941122355105795"/>
    <n v="0.4557651991614256"/>
    <x v="3"/>
  </r>
  <r>
    <x v="14"/>
    <d v="2018-05-01T00:00:00"/>
    <n v="441.16"/>
    <n v="954"/>
    <n v="2.1624807326140174"/>
    <n v="0.46243186582809226"/>
    <x v="3"/>
  </r>
  <r>
    <x v="14"/>
    <d v="2018-06-01T00:00:00"/>
    <n v="451.63"/>
    <n v="954"/>
    <n v="2.112348603945708"/>
    <n v="0.47340670859538786"/>
    <x v="3"/>
  </r>
  <r>
    <x v="14"/>
    <d v="2018-07-01T00:00:00"/>
    <n v="437.42"/>
    <n v="954"/>
    <n v="2.1809702345571762"/>
    <n v="0.45851153039832288"/>
    <x v="3"/>
  </r>
  <r>
    <x v="14"/>
    <d v="2018-08-01T00:00:00"/>
    <n v="432.81"/>
    <n v="954"/>
    <n v="2.2042004574755665"/>
    <n v="0.45367924528301889"/>
    <x v="3"/>
  </r>
  <r>
    <x v="14"/>
    <d v="2018-09-01T00:00:00"/>
    <n v="432.83"/>
    <n v="954"/>
    <n v="2.2040986068433335"/>
    <n v="0.45370020964360586"/>
    <x v="3"/>
  </r>
  <r>
    <x v="14"/>
    <d v="2018-10-01T00:00:00"/>
    <n v="446.02"/>
    <n v="954"/>
    <n v="2.1389175373301645"/>
    <n v="0.46752620545073376"/>
    <x v="3"/>
  </r>
  <r>
    <x v="14"/>
    <d v="2018-11-01T00:00:00"/>
    <n v="471.37"/>
    <n v="954"/>
    <n v="2.0238878163650633"/>
    <n v="0.49409853249475894"/>
    <x v="3"/>
  </r>
  <r>
    <x v="14"/>
    <d v="2018-12-01T00:00:00"/>
    <n v="471.44"/>
    <n v="954"/>
    <n v="2.0235873069743766"/>
    <n v="0.49417190775681341"/>
    <x v="3"/>
  </r>
  <r>
    <x v="14"/>
    <d v="2019-01-01T00:00:00"/>
    <n v="467.65"/>
    <n v="998"/>
    <n v="2.1340746284614562"/>
    <n v="0.4685871743486974"/>
    <x v="4"/>
  </r>
  <r>
    <x v="14"/>
    <d v="2019-02-01T00:00:00"/>
    <n v="482.4"/>
    <n v="998"/>
    <n v="2.0688225538971809"/>
    <n v="0.48336673346693382"/>
    <x v="4"/>
  </r>
  <r>
    <x v="14"/>
    <d v="2019-03-01T00:00:00"/>
    <n v="509.11"/>
    <n v="998"/>
    <n v="1.9602836322209345"/>
    <n v="0.51013026052104204"/>
    <x v="4"/>
  </r>
  <r>
    <x v="14"/>
    <d v="2019-04-01T00:00:00"/>
    <n v="522.04999999999995"/>
    <n v="998"/>
    <n v="1.9116942821568816"/>
    <n v="0.52309619238476945"/>
    <x v="4"/>
  </r>
  <r>
    <x v="14"/>
    <d v="2019-05-01T00:00:00"/>
    <n v="507.07"/>
    <n v="998"/>
    <n v="1.968170075137555"/>
    <n v="0.50808617234468934"/>
    <x v="4"/>
  </r>
  <r>
    <x v="14"/>
    <d v="2019-06-01T00:00:00"/>
    <n v="501.68"/>
    <n v="998"/>
    <n v="1.9893158985807686"/>
    <n v="0.50268537074148301"/>
    <x v="4"/>
  </r>
  <r>
    <x v="14"/>
    <d v="2019-07-01T00:00:00"/>
    <n v="493.16"/>
    <n v="998"/>
    <n v="2.0236839970800551"/>
    <n v="0.49414829659318638"/>
    <x v="4"/>
  </r>
  <r>
    <x v="14"/>
    <d v="2019-08-01T00:00:00"/>
    <n v="481.44"/>
    <n v="998"/>
    <n v="2.0729478231970755"/>
    <n v="0.48240480961923848"/>
    <x v="4"/>
  </r>
  <r>
    <x v="14"/>
    <d v="2019-09-01T00:00:00"/>
    <n v="473.85"/>
    <n v="998"/>
    <n v="2.1061517357813653"/>
    <n v="0.47479959919839682"/>
    <x v="4"/>
  </r>
  <r>
    <x v="14"/>
    <d v="2019-10-01T00:00:00"/>
    <n v="473.59"/>
    <n v="998"/>
    <n v="2.1073080090373533"/>
    <n v="0.47453907815631258"/>
    <x v="4"/>
  </r>
  <r>
    <x v="14"/>
    <d v="2019-11-01T00:00:00"/>
    <n v="465.81"/>
    <n v="998"/>
    <n v="2.1425044546059553"/>
    <n v="0.46674348697394791"/>
    <x v="4"/>
  </r>
  <r>
    <x v="14"/>
    <d v="2019-12-01T00:00:00"/>
    <n v="506.5"/>
    <n v="998"/>
    <n v="1.9703849950641659"/>
    <n v="0.50751503006012022"/>
    <x v="4"/>
  </r>
  <r>
    <x v="14"/>
    <d v="2020-01-01T00:00:00"/>
    <n v="517.51"/>
    <n v="1039"/>
    <n v="2.0076906726440069"/>
    <n v="0.49808469682386908"/>
    <x v="5"/>
  </r>
  <r>
    <x v="14"/>
    <d v="2020-02-01T00:00:00"/>
    <n v="519.76"/>
    <n v="1045"/>
    <n v="2.0105433276897031"/>
    <n v="0.49737799043062197"/>
    <x v="5"/>
  </r>
  <r>
    <x v="14"/>
    <d v="2020-03-01T00:00:00"/>
    <n v="518.5"/>
    <n v="1045"/>
    <n v="2.0154291224686598"/>
    <n v="0.49617224880382776"/>
    <x v="5"/>
  </r>
  <r>
    <x v="14"/>
    <d v="2020-04-01T00:00:00"/>
    <n v="556.25"/>
    <n v="1045"/>
    <n v="1.8786516853932584"/>
    <n v="0.53229665071770338"/>
    <x v="5"/>
  </r>
  <r>
    <x v="14"/>
    <d v="2020-05-01T00:00:00"/>
    <n v="556.36"/>
    <n v="1045"/>
    <n v="1.8782802501977136"/>
    <n v="0.5324019138755981"/>
    <x v="5"/>
  </r>
  <r>
    <x v="14"/>
    <d v="2020-06-01T00:00:00"/>
    <n v="547.03"/>
    <n v="1045"/>
    <n v="1.9103157048059523"/>
    <n v="0.52347368421052631"/>
    <x v="5"/>
  </r>
  <r>
    <x v="14"/>
    <d v="2020-07-01T00:00:00"/>
    <n v="524.74"/>
    <n v="1045"/>
    <n v="1.9914624385409916"/>
    <n v="0.50214354066985645"/>
    <x v="5"/>
  </r>
  <r>
    <x v="14"/>
    <d v="2020-08-01T00:00:00"/>
    <n v="539.95000000000005"/>
    <n v="1045"/>
    <n v="1.9353643855912583"/>
    <n v="0.51669856459330143"/>
    <x v="5"/>
  </r>
  <r>
    <x v="14"/>
    <d v="2020-09-01T00:00:00"/>
    <n v="563.35"/>
    <n v="1045"/>
    <n v="1.8549747048903877"/>
    <n v="0.53909090909090907"/>
    <x v="5"/>
  </r>
  <r>
    <x v="14"/>
    <d v="2020-10-01T00:00:00"/>
    <n v="595.87"/>
    <n v="1045"/>
    <n v="1.7537382314934467"/>
    <n v="0.5702105263157895"/>
    <x v="5"/>
  </r>
  <r>
    <x v="14"/>
    <d v="2020-11-01T00:00:00"/>
    <n v="629.17999999999995"/>
    <n v="1045"/>
    <n v="1.6608919546075847"/>
    <n v="0.60208612440191378"/>
    <x v="5"/>
  </r>
  <r>
    <x v="14"/>
    <d v="2020-12-01T00:00:00"/>
    <n v="631.46"/>
    <n v="1045"/>
    <n v="1.6548950052259841"/>
    <n v="0.60426794258373207"/>
    <x v="5"/>
  </r>
  <r>
    <x v="14"/>
    <d v="2021-01-01T00:00:00"/>
    <n v="654.15"/>
    <n v="1100"/>
    <n v="1.681571505006497"/>
    <n v="0.5946818181818182"/>
    <x v="6"/>
  </r>
  <r>
    <x v="14"/>
    <d v="2021-02-01T00:00:00"/>
    <n v="639.47"/>
    <n v="1100"/>
    <n v="1.7201745195239808"/>
    <n v="0.58133636363636365"/>
    <x v="6"/>
  </r>
  <r>
    <x v="14"/>
    <d v="2021-03-01T00:00:00"/>
    <n v="626"/>
    <n v="1100"/>
    <n v="1.7571884984025559"/>
    <n v="0.56909090909090909"/>
    <x v="6"/>
  </r>
  <r>
    <x v="14"/>
    <d v="2021-04-01T00:00:00"/>
    <n v="632.61"/>
    <n v="1100"/>
    <n v="1.738828029907842"/>
    <n v="0.57510000000000006"/>
    <x v="6"/>
  </r>
  <r>
    <x v="14"/>
    <d v="2021-05-01T00:00:00"/>
    <n v="636.4"/>
    <n v="1100"/>
    <n v="1.7284726587052168"/>
    <n v="0.57854545454545447"/>
    <x v="6"/>
  </r>
  <r>
    <x v="14"/>
    <d v="2021-06-01T00:00:00"/>
    <n v="626.76"/>
    <n v="1100"/>
    <n v="1.7550577573552875"/>
    <n v="0.56978181818181817"/>
    <x v="6"/>
  </r>
  <r>
    <x v="14"/>
    <d v="2021-07-01T00:00:00"/>
    <n v="640.51"/>
    <n v="1100"/>
    <n v="1.7173814616477494"/>
    <n v="0.58228181818181812"/>
    <x v="6"/>
  </r>
  <r>
    <x v="14"/>
    <d v="2021-08-01T00:00:00"/>
    <n v="650.5"/>
    <n v="1100"/>
    <n v="1.6910069177555727"/>
    <n v="0.59136363636363631"/>
    <x v="6"/>
  </r>
  <r>
    <x v="14"/>
    <d v="2021-09-01T00:00:00"/>
    <n v="673.45"/>
    <n v="1100"/>
    <n v="1.6333803548890042"/>
    <n v="0.61222727272727273"/>
    <x v="6"/>
  </r>
  <r>
    <x v="14"/>
    <d v="2021-10-01T00:00:00"/>
    <n v="693.79"/>
    <n v="1100"/>
    <n v="1.5854941697055305"/>
    <n v="0.63071818181818173"/>
    <x v="6"/>
  </r>
  <r>
    <x v="14"/>
    <d v="2021-11-01T00:00:00"/>
    <n v="692.27"/>
    <n v="1100"/>
    <n v="1.5889753997717655"/>
    <n v="0.62933636363636358"/>
    <x v="6"/>
  </r>
  <r>
    <x v="14"/>
    <d v="2021-12-01T00:00:00"/>
    <n v="690.51"/>
    <n v="1100"/>
    <n v="1.5930254449609709"/>
    <n v="0.62773636363636365"/>
    <x v="6"/>
  </r>
  <r>
    <x v="14"/>
    <d v="2022-01-01T00:00:00"/>
    <n v="713.86"/>
    <n v="1212"/>
    <n v="1.6978118958899504"/>
    <n v="0.588993399339934"/>
    <x v="7"/>
  </r>
  <r>
    <x v="14"/>
    <d v="2022-02-01T00:00:00"/>
    <n v="715.65"/>
    <n v="1212"/>
    <n v="1.6935652902955356"/>
    <n v="0.590470297029703"/>
    <x v="7"/>
  </r>
  <r>
    <x v="14"/>
    <d v="2022-03-01T00:00:00"/>
    <n v="761.19"/>
    <n v="1212"/>
    <n v="1.5922437236432427"/>
    <n v="0.6280445544554456"/>
    <x v="7"/>
  </r>
  <r>
    <x v="14"/>
    <d v="2022-04-01T00:00:00"/>
    <n v="803.99"/>
    <n v="1212"/>
    <n v="1.5074814363362727"/>
    <n v="0.66335808580858091"/>
    <x v="7"/>
  </r>
  <r>
    <x v="14"/>
    <d v="2022-05-01T00:00:00"/>
    <n v="777.93"/>
    <n v="1212"/>
    <n v="1.5579807951872278"/>
    <n v="0.64185643564356432"/>
    <x v="7"/>
  </r>
  <r>
    <x v="14"/>
    <d v="2022-06-01T00:00:00"/>
    <n v="777.01"/>
    <n v="1212"/>
    <n v="1.5598254848714945"/>
    <n v="0.64109735973597359"/>
    <x v="7"/>
  </r>
  <r>
    <x v="14"/>
    <d v="2022-07-01T00:00:00"/>
    <n v="760.45"/>
    <n v="1212"/>
    <n v="1.5937931487934776"/>
    <n v="0.62743399339933992"/>
    <x v="7"/>
  </r>
  <r>
    <x v="14"/>
    <d v="2022-08-01T00:00:00"/>
    <n v="749.78"/>
    <n v="1212"/>
    <n v="1.6164741657552884"/>
    <n v="0.61863036303630359"/>
    <x v="7"/>
  </r>
  <r>
    <x v="14"/>
    <d v="2022-09-01T00:00:00"/>
    <n v="750.74"/>
    <n v="1212"/>
    <n v="1.6144071183099342"/>
    <n v="0.61942244224422438"/>
    <x v="7"/>
  </r>
  <r>
    <x v="14"/>
    <d v="2022-10-01T00:00:00"/>
    <n v="762.2"/>
    <n v="1212"/>
    <n v="1.5901338231435318"/>
    <n v="0.62887788778877896"/>
    <x v="7"/>
  </r>
  <r>
    <x v="14"/>
    <d v="2022-11-01T00:00:00"/>
    <n v="782.68"/>
    <n v="1212"/>
    <n v="1.5485255787806"/>
    <n v="0.64577557755775572"/>
    <x v="7"/>
  </r>
  <r>
    <x v="14"/>
    <d v="2022-12-01T00:00:00"/>
    <n v="791.29"/>
    <n v="1212"/>
    <n v="1.5316761237978491"/>
    <n v="0.65287953795379539"/>
    <x v="7"/>
  </r>
  <r>
    <x v="14"/>
    <d v="2023-01-01T00:00:00"/>
    <n v="790.57"/>
    <n v="1302"/>
    <n v="1.6469129868322854"/>
    <n v="0.60719662058371737"/>
    <x v="8"/>
  </r>
  <r>
    <x v="14"/>
    <d v="2023-02-01T00:00:00"/>
    <n v="779.38"/>
    <n v="1302"/>
    <n v="1.6705586491826836"/>
    <n v="0.59860215053763444"/>
    <x v="8"/>
  </r>
  <r>
    <x v="14"/>
    <d v="2023-03-01T00:00:00"/>
    <n v="782.23"/>
    <n v="1302"/>
    <n v="1.6644720862150517"/>
    <n v="0.6007910906298003"/>
    <x v="8"/>
  </r>
  <r>
    <x v="14"/>
    <d v="2023-04-01T00:00:00"/>
    <n v="794.68"/>
    <n v="1302"/>
    <n v="1.638395328937434"/>
    <n v="0.61035330261136711"/>
    <x v="8"/>
  </r>
  <r>
    <x v="14"/>
    <d v="2023-05-01T00:00:00"/>
    <n v="791.82"/>
    <n v="1320"/>
    <n v="1.6670455406531786"/>
    <n v="0.59986363636363638"/>
    <x v="8"/>
  </r>
  <r>
    <x v="14"/>
    <d v="2023-06-01T00:00:00"/>
    <n v="783.05"/>
    <n v="1320"/>
    <n v="1.6857161100823703"/>
    <n v="0.5932196969696969"/>
    <x v="8"/>
  </r>
  <r>
    <x v="14"/>
    <d v="2023-07-01T00:00:00"/>
    <n v="769.95"/>
    <n v="1320"/>
    <n v="1.714397038768751"/>
    <n v="0.58329545454545462"/>
    <x v="8"/>
  </r>
  <r>
    <x v="14"/>
    <d v="2023-08-01T00:00:00"/>
    <n v="748.47"/>
    <n v="1320"/>
    <n v="1.7635977393883522"/>
    <n v="0.56702272727272729"/>
    <x v="8"/>
  </r>
  <r>
    <x v="14"/>
    <d v="2023-09-01T00:00:00"/>
    <n v="734.77"/>
    <n v="1320"/>
    <n v="1.7964805313227268"/>
    <n v="0.55664393939393941"/>
    <x v="8"/>
  </r>
  <r>
    <x v="14"/>
    <d v="2023-10-01T00:00:00"/>
    <n v="738.13"/>
    <n v="1320"/>
    <n v="1.7883028734775717"/>
    <n v="0.55918939393939393"/>
    <x v="8"/>
  </r>
  <r>
    <x v="14"/>
    <d v="2023-11-01T00:00:00"/>
    <n v="749.28"/>
    <n v="1320"/>
    <n v="1.7616912235746318"/>
    <n v="0.56763636363636361"/>
    <x v="8"/>
  </r>
  <r>
    <x v="14"/>
    <d v="2023-12-01T00:00:00"/>
    <n v="761.01"/>
    <n v="1320"/>
    <n v="1.7345369968857176"/>
    <n v="0.57652272727272724"/>
    <x v="8"/>
  </r>
  <r>
    <x v="14"/>
    <d v="2024-01-01T00:00:00"/>
    <n v="793.39"/>
    <n v="1412"/>
    <n v="1.7797048110008948"/>
    <n v="0.56189093484419261"/>
    <x v="9"/>
  </r>
  <r>
    <x v="14"/>
    <d v="2024-02-01T00:00:00"/>
    <n v="808.38"/>
    <n v="1412"/>
    <n v="1.7467032831094287"/>
    <n v="0.57250708215297452"/>
    <x v="9"/>
  </r>
  <r>
    <x v="14"/>
    <d v="2024-03-01T00:00:00"/>
    <n v="813.26"/>
    <n v="1412"/>
    <n v="1.7362221183877236"/>
    <n v="0.57596317280453257"/>
    <x v="9"/>
  </r>
  <r>
    <x v="14"/>
    <d v="2024-04-01T00:00:00"/>
    <n v="822.84"/>
    <n v="1412"/>
    <n v="1.7160079723883135"/>
    <n v="0.58274787535410766"/>
    <x v="9"/>
  </r>
  <r>
    <x v="14"/>
    <d v="2024-05-01T00:00:00"/>
    <n v="826.85"/>
    <n v="1412"/>
    <n v="1.7076857954889035"/>
    <n v="0.58558781869688392"/>
    <x v="9"/>
  </r>
  <r>
    <x v="14"/>
    <d v="2024-06-01T00:00:00"/>
    <n v="832.69"/>
    <n v="1412"/>
    <n v="1.6957090874154845"/>
    <n v="0.58972379603399439"/>
    <x v="9"/>
  </r>
  <r>
    <x v="14"/>
    <d v="2024-07-01T00:00:00"/>
    <n v="809.77"/>
    <n v="1412"/>
    <n v="1.7437050026550749"/>
    <n v="0.57349150141643057"/>
    <x v="9"/>
  </r>
  <r>
    <x v="14"/>
    <d v="2024-08-01T00:00:00"/>
    <n v="786.35"/>
    <n v="1412"/>
    <n v="1.7956380746486933"/>
    <n v="0.55690509915014164"/>
    <x v="9"/>
  </r>
  <r>
    <x v="14"/>
    <d v="2024-09-01T00:00:00"/>
    <n v="792.47"/>
    <n v="1412"/>
    <n v="1.7817709187729502"/>
    <n v="0.56123937677053826"/>
    <x v="9"/>
  </r>
  <r>
    <x v="14"/>
    <d v="2024-10-01T00:00:00"/>
    <n v="805.84"/>
    <n v="1412"/>
    <n v="1.7522088752109599"/>
    <n v="0.57070821529745042"/>
    <x v="9"/>
  </r>
  <r>
    <x v="14"/>
    <d v="2024-11-01T00:00:00"/>
    <n v="828.39"/>
    <n v="1412"/>
    <n v="1.7045111602023202"/>
    <n v="0.58667847025495745"/>
    <x v="9"/>
  </r>
  <r>
    <x v="14"/>
    <d v="2024-12-01T00:00:00"/>
    <n v="841.29"/>
    <n v="1412"/>
    <n v="1.6783748766774835"/>
    <n v="0.59581444759206792"/>
    <x v="9"/>
  </r>
  <r>
    <x v="14"/>
    <d v="2025-01-01T00:00:00"/>
    <n v="851.82"/>
    <n v="1518"/>
    <n v="1.7820666337958722"/>
    <n v="0.56114624505928856"/>
    <x v="10"/>
  </r>
  <r>
    <x v="14"/>
    <d v="2025-02-01T00:00:00"/>
    <n v="860.53"/>
    <n v="1518"/>
    <n v="1.7640291448293495"/>
    <n v="0.56688405797101449"/>
    <x v="10"/>
  </r>
  <r>
    <x v="14"/>
    <d v="2025-03-01T00:00:00"/>
    <n v="880.72"/>
    <n v="1518"/>
    <n v="1.7235897901716777"/>
    <n v="0.58018445322793155"/>
    <x v="10"/>
  </r>
  <r>
    <x v="14"/>
    <d v="2025-04-01T00:00:00"/>
    <n v="909.25"/>
    <n v="1518"/>
    <n v="1.6695078361286775"/>
    <n v="0.59897891963109351"/>
    <x v="10"/>
  </r>
  <r>
    <x v="14"/>
    <d v="2025-05-01T00:00:00"/>
    <n v="896.15"/>
    <n v="1518"/>
    <n v="1.6939128494113709"/>
    <n v="0.59034914361001312"/>
    <x v="10"/>
  </r>
  <r>
    <x v="14"/>
    <d v="2025-06-01T00:00:00"/>
    <n v="882.76"/>
    <n v="1518"/>
    <n v="1.7196066881145498"/>
    <n v="0.58152832674571808"/>
    <x v="10"/>
  </r>
  <r>
    <x v="15"/>
    <d v="2015-01-01T00:00:00"/>
    <n v="348.3"/>
    <n v="788"/>
    <n v="2.2624174562159056"/>
    <n v="0.44200507614213197"/>
    <x v="0"/>
  </r>
  <r>
    <x v="15"/>
    <d v="2015-02-01T00:00:00"/>
    <n v="354.85"/>
    <n v="788"/>
    <n v="2.2206566154713259"/>
    <n v="0.45031725888324875"/>
    <x v="0"/>
  </r>
  <r>
    <x v="15"/>
    <d v="2015-03-01T00:00:00"/>
    <n v="363.62"/>
    <n v="788"/>
    <n v="2.1670975193883724"/>
    <n v="0.46144670050761422"/>
    <x v="0"/>
  </r>
  <r>
    <x v="15"/>
    <d v="2015-04-01T00:00:00"/>
    <n v="376.46"/>
    <n v="788"/>
    <n v="2.0931838707963664"/>
    <n v="0.47774111675126901"/>
    <x v="0"/>
  </r>
  <r>
    <x v="15"/>
    <d v="2015-05-01T00:00:00"/>
    <n v="387.92"/>
    <n v="788"/>
    <n v="2.0313466694163744"/>
    <n v="0.4922842639593909"/>
    <x v="0"/>
  </r>
  <r>
    <x v="15"/>
    <d v="2015-06-01T00:00:00"/>
    <n v="367.94"/>
    <n v="788"/>
    <n v="2.141653530466924"/>
    <n v="0.46692893401015229"/>
    <x v="0"/>
  </r>
  <r>
    <x v="15"/>
    <d v="2015-07-01T00:00:00"/>
    <n v="368.01"/>
    <n v="788"/>
    <n v="2.1412461617890819"/>
    <n v="0.46701776649746191"/>
    <x v="0"/>
  </r>
  <r>
    <x v="15"/>
    <d v="2015-08-01T00:00:00"/>
    <n v="358"/>
    <n v="788"/>
    <n v="2.2011173184357542"/>
    <n v="0.45431472081218272"/>
    <x v="0"/>
  </r>
  <r>
    <x v="15"/>
    <d v="2015-09-01T00:00:00"/>
    <n v="361.54"/>
    <n v="788"/>
    <n v="2.1795651933396027"/>
    <n v="0.45880710659898477"/>
    <x v="0"/>
  </r>
  <r>
    <x v="15"/>
    <d v="2015-10-01T00:00:00"/>
    <n v="357.3"/>
    <n v="788"/>
    <n v="2.2054296109711724"/>
    <n v="0.45342639593908629"/>
    <x v="0"/>
  </r>
  <r>
    <x v="15"/>
    <d v="2015-11-01T00:00:00"/>
    <n v="378.91"/>
    <n v="788"/>
    <n v="2.0796495209944315"/>
    <n v="0.48085025380710661"/>
    <x v="0"/>
  </r>
  <r>
    <x v="15"/>
    <d v="2015-12-01T00:00:00"/>
    <n v="384.99"/>
    <n v="788"/>
    <n v="2.0468064105561181"/>
    <n v="0.48856598984771576"/>
    <x v="0"/>
  </r>
  <r>
    <x v="15"/>
    <d v="2016-01-01T00:00:00"/>
    <n v="438.42"/>
    <n v="880"/>
    <n v="2.0072077003786322"/>
    <n v="0.49820454545454546"/>
    <x v="1"/>
  </r>
  <r>
    <x v="15"/>
    <d v="2016-02-01T00:00:00"/>
    <n v="401.38"/>
    <n v="880"/>
    <n v="2.1924360954706263"/>
    <n v="0.45611363636363633"/>
    <x v="1"/>
  </r>
  <r>
    <x v="15"/>
    <d v="2016-03-01T00:00:00"/>
    <n v="418.18"/>
    <n v="880"/>
    <n v="2.1043569754651106"/>
    <n v="0.47520454545454544"/>
    <x v="1"/>
  </r>
  <r>
    <x v="15"/>
    <d v="2016-04-01T00:00:00"/>
    <n v="414.26"/>
    <n v="880"/>
    <n v="2.1242697822623473"/>
    <n v="0.47075"/>
    <x v="1"/>
  </r>
  <r>
    <x v="15"/>
    <d v="2016-05-01T00:00:00"/>
    <n v="418.96"/>
    <n v="880"/>
    <n v="2.1004391827382092"/>
    <n v="0.47609090909090906"/>
    <x v="1"/>
  </r>
  <r>
    <x v="15"/>
    <d v="2016-06-01T00:00:00"/>
    <n v="428.69"/>
    <n v="880"/>
    <n v="2.0527654015722319"/>
    <n v="0.48714772727272726"/>
    <x v="1"/>
  </r>
  <r>
    <x v="15"/>
    <d v="2016-07-01T00:00:00"/>
    <n v="436.24"/>
    <n v="880"/>
    <n v="2.017238217494957"/>
    <n v="0.49572727272727274"/>
    <x v="1"/>
  </r>
  <r>
    <x v="15"/>
    <d v="2016-08-01T00:00:00"/>
    <n v="436.53"/>
    <n v="880"/>
    <n v="2.0158981055139398"/>
    <n v="0.49605681818181813"/>
    <x v="1"/>
  </r>
  <r>
    <x v="15"/>
    <d v="2016-09-01T00:00:00"/>
    <n v="435.27"/>
    <n v="880"/>
    <n v="2.0217336365933791"/>
    <n v="0.49462499999999998"/>
    <x v="1"/>
  </r>
  <r>
    <x v="15"/>
    <d v="2016-10-01T00:00:00"/>
    <n v="449.16"/>
    <n v="880"/>
    <n v="1.9592127526939174"/>
    <n v="0.51040909090909092"/>
    <x v="1"/>
  </r>
  <r>
    <x v="15"/>
    <d v="2016-11-01T00:00:00"/>
    <n v="438.85"/>
    <n v="880"/>
    <n v="2.0052409707189245"/>
    <n v="0.49869318181818184"/>
    <x v="1"/>
  </r>
  <r>
    <x v="15"/>
    <d v="2016-12-01T00:00:00"/>
    <n v="426.32"/>
    <n v="880"/>
    <n v="2.0641771439294425"/>
    <n v="0.48445454545454547"/>
    <x v="1"/>
  </r>
  <r>
    <x v="15"/>
    <d v="2017-01-01T00:00:00"/>
    <n v="422.38"/>
    <n v="937"/>
    <n v="2.2183815521568255"/>
    <n v="0.45077908217716117"/>
    <x v="2"/>
  </r>
  <r>
    <x v="15"/>
    <d v="2017-02-01T00:00:00"/>
    <n v="414.03"/>
    <n v="937"/>
    <n v="2.2631210298770621"/>
    <n v="0.4418676627534685"/>
    <x v="2"/>
  </r>
  <r>
    <x v="15"/>
    <d v="2017-03-01T00:00:00"/>
    <n v="415.75"/>
    <n v="937"/>
    <n v="2.2537582681900181"/>
    <n v="0.44370330843116329"/>
    <x v="2"/>
  </r>
  <r>
    <x v="15"/>
    <d v="2017-04-01T00:00:00"/>
    <n v="431.54"/>
    <n v="937"/>
    <n v="2.1712935069750197"/>
    <n v="0.46055496264674495"/>
    <x v="2"/>
  </r>
  <r>
    <x v="15"/>
    <d v="2017-05-01T00:00:00"/>
    <n v="422.03"/>
    <n v="937"/>
    <n v="2.2202213112811888"/>
    <n v="0.45040554962646739"/>
    <x v="2"/>
  </r>
  <r>
    <x v="15"/>
    <d v="2017-06-01T00:00:00"/>
    <n v="404.54"/>
    <n v="937"/>
    <n v="2.3162110050922036"/>
    <n v="0.43173959445037358"/>
    <x v="2"/>
  </r>
  <r>
    <x v="15"/>
    <d v="2017-07-01T00:00:00"/>
    <n v="409.51"/>
    <n v="937"/>
    <n v="2.2881004126883351"/>
    <n v="0.4370437566702241"/>
    <x v="2"/>
  </r>
  <r>
    <x v="15"/>
    <d v="2017-08-01T00:00:00"/>
    <n v="397.89"/>
    <n v="937"/>
    <n v="2.3549222146824502"/>
    <n v="0.42464247598719318"/>
    <x v="2"/>
  </r>
  <r>
    <x v="15"/>
    <d v="2017-09-01T00:00:00"/>
    <n v="391.76"/>
    <n v="937"/>
    <n v="2.3917704717173782"/>
    <n v="0.41810032017075771"/>
    <x v="2"/>
  </r>
  <r>
    <x v="15"/>
    <d v="2017-10-01T00:00:00"/>
    <n v="393.71"/>
    <n v="937"/>
    <n v="2.3799243097711513"/>
    <n v="0.42018143009605119"/>
    <x v="2"/>
  </r>
  <r>
    <x v="15"/>
    <d v="2017-11-01T00:00:00"/>
    <n v="387.93"/>
    <n v="937"/>
    <n v="2.4153842188023611"/>
    <n v="0.4140128068303095"/>
    <x v="2"/>
  </r>
  <r>
    <x v="15"/>
    <d v="2017-12-01T00:00:00"/>
    <n v="385.19"/>
    <n v="937"/>
    <n v="2.4325657467743191"/>
    <n v="0.41108858057630737"/>
    <x v="2"/>
  </r>
  <r>
    <x v="15"/>
    <d v="2018-01-01T00:00:00"/>
    <n v="417.73"/>
    <n v="954"/>
    <n v="2.28377181432983"/>
    <n v="0.43787211740041931"/>
    <x v="3"/>
  </r>
  <r>
    <x v="15"/>
    <d v="2018-02-01T00:00:00"/>
    <n v="410.84"/>
    <n v="954"/>
    <n v="2.3220718527894073"/>
    <n v="0.43064989517819702"/>
    <x v="3"/>
  </r>
  <r>
    <x v="15"/>
    <d v="2018-03-01T00:00:00"/>
    <n v="410.59"/>
    <n v="954"/>
    <n v="2.3234857156774398"/>
    <n v="0.4303878406708595"/>
    <x v="3"/>
  </r>
  <r>
    <x v="15"/>
    <d v="2018-04-01T00:00:00"/>
    <n v="409.8"/>
    <n v="954"/>
    <n v="2.3279648609077599"/>
    <n v="0.42955974842767297"/>
    <x v="3"/>
  </r>
  <r>
    <x v="15"/>
    <d v="2018-05-01T00:00:00"/>
    <n v="409.95"/>
    <n v="954"/>
    <n v="2.3271130625686061"/>
    <n v="0.42971698113207546"/>
    <x v="3"/>
  </r>
  <r>
    <x v="15"/>
    <d v="2018-06-01T00:00:00"/>
    <n v="413.73"/>
    <n v="954"/>
    <n v="2.3058516423754623"/>
    <n v="0.43367924528301888"/>
    <x v="3"/>
  </r>
  <r>
    <x v="15"/>
    <d v="2018-07-01T00:00:00"/>
    <n v="406.43"/>
    <n v="954"/>
    <n v="2.3472676721698691"/>
    <n v="0.4260272536687631"/>
    <x v="3"/>
  </r>
  <r>
    <x v="15"/>
    <d v="2018-08-01T00:00:00"/>
    <n v="395.7"/>
    <n v="954"/>
    <n v="2.4109173616376043"/>
    <n v="0.41477987421383644"/>
    <x v="3"/>
  </r>
  <r>
    <x v="15"/>
    <d v="2018-09-01T00:00:00"/>
    <n v="395.64"/>
    <n v="954"/>
    <n v="2.4112829845313923"/>
    <n v="0.41471698113207545"/>
    <x v="3"/>
  </r>
  <r>
    <x v="15"/>
    <d v="2018-10-01T00:00:00"/>
    <n v="419.69"/>
    <n v="954"/>
    <n v="2.2731063403941003"/>
    <n v="0.43992662473794547"/>
    <x v="3"/>
  </r>
  <r>
    <x v="15"/>
    <d v="2018-11-01T00:00:00"/>
    <n v="408.55"/>
    <n v="954"/>
    <n v="2.3350875045894015"/>
    <n v="0.42824947589098533"/>
    <x v="3"/>
  </r>
  <r>
    <x v="15"/>
    <d v="2018-12-01T00:00:00"/>
    <n v="403.79"/>
    <n v="954"/>
    <n v="2.3626142301691471"/>
    <n v="0.42325995807127886"/>
    <x v="3"/>
  </r>
  <r>
    <x v="15"/>
    <d v="2019-01-01T00:00:00"/>
    <n v="423.96"/>
    <n v="998"/>
    <n v="2.3539956599679215"/>
    <n v="0.42480961923847693"/>
    <x v="4"/>
  </r>
  <r>
    <x v="15"/>
    <d v="2019-02-01T00:00:00"/>
    <n v="449.54"/>
    <n v="998"/>
    <n v="2.2200471593184141"/>
    <n v="0.45044088176352709"/>
    <x v="4"/>
  </r>
  <r>
    <x v="15"/>
    <d v="2019-03-01T00:00:00"/>
    <n v="475.84"/>
    <n v="998"/>
    <n v="2.0973436449226632"/>
    <n v="0.47679358717434867"/>
    <x v="4"/>
  </r>
  <r>
    <x v="15"/>
    <d v="2019-04-01T00:00:00"/>
    <n v="498.54"/>
    <n v="998"/>
    <n v="2.0018453885345209"/>
    <n v="0.49953907815631265"/>
    <x v="4"/>
  </r>
  <r>
    <x v="15"/>
    <d v="2019-05-01T00:00:00"/>
    <n v="484.84"/>
    <n v="998"/>
    <n v="2.0584110221928884"/>
    <n v="0.48581162324649296"/>
    <x v="4"/>
  </r>
  <r>
    <x v="15"/>
    <d v="2019-06-01T00:00:00"/>
    <n v="485.34"/>
    <n v="998"/>
    <n v="2.0562904355709399"/>
    <n v="0.48631262525050095"/>
    <x v="4"/>
  </r>
  <r>
    <x v="15"/>
    <d v="2019-07-01T00:00:00"/>
    <n v="466.93"/>
    <n v="998"/>
    <n v="2.1373653438416893"/>
    <n v="0.46786573146292587"/>
    <x v="4"/>
  </r>
  <r>
    <x v="15"/>
    <d v="2019-08-01T00:00:00"/>
    <n v="441.5"/>
    <n v="998"/>
    <n v="2.260475651189128"/>
    <n v="0.44238476953907818"/>
    <x v="4"/>
  </r>
  <r>
    <x v="15"/>
    <d v="2019-09-01T00:00:00"/>
    <n v="429.06"/>
    <n v="998"/>
    <n v="2.326015009555773"/>
    <n v="0.42991983967935871"/>
    <x v="4"/>
  </r>
  <r>
    <x v="15"/>
    <d v="2019-10-01T00:00:00"/>
    <n v="428.25"/>
    <n v="998"/>
    <n v="2.3304144775248101"/>
    <n v="0.42910821643286573"/>
    <x v="4"/>
  </r>
  <r>
    <x v="15"/>
    <d v="2019-11-01T00:00:00"/>
    <n v="462.06"/>
    <n v="998"/>
    <n v="2.1598926546335973"/>
    <n v="0.4629859719438878"/>
    <x v="4"/>
  </r>
  <r>
    <x v="15"/>
    <d v="2019-12-01T00:00:00"/>
    <n v="499.23"/>
    <n v="998"/>
    <n v="1.9990785810147627"/>
    <n v="0.50023046092184376"/>
    <x v="4"/>
  </r>
  <r>
    <x v="15"/>
    <d v="2020-01-01T00:00:00"/>
    <n v="492.2"/>
    <n v="1039"/>
    <n v="2.1109305160503862"/>
    <n v="0.47372473532242537"/>
    <x v="5"/>
  </r>
  <r>
    <x v="15"/>
    <d v="2020-02-01T00:00:00"/>
    <n v="480.03"/>
    <n v="1045"/>
    <n v="2.1769472741287004"/>
    <n v="0.45935885167464113"/>
    <x v="5"/>
  </r>
  <r>
    <x v="15"/>
    <d v="2020-03-01T00:00:00"/>
    <n v="504.78"/>
    <n v="1045"/>
    <n v="2.0702088038353343"/>
    <n v="0.48304306220095689"/>
    <x v="5"/>
  </r>
  <r>
    <x v="15"/>
    <d v="2020-04-01T00:00:00"/>
    <n v="537.89"/>
    <n v="1045"/>
    <n v="1.9427764040974922"/>
    <n v="0.5147272727272727"/>
    <x v="5"/>
  </r>
  <r>
    <x v="15"/>
    <d v="2020-05-01T00:00:00"/>
    <n v="536.73"/>
    <n v="1045"/>
    <n v="1.9469752016842732"/>
    <n v="0.51361722488038275"/>
    <x v="5"/>
  </r>
  <r>
    <x v="15"/>
    <d v="2020-06-01T00:00:00"/>
    <n v="500.01"/>
    <n v="1045"/>
    <n v="2.0899582008359832"/>
    <n v="0.4784784688995215"/>
    <x v="5"/>
  </r>
  <r>
    <x v="15"/>
    <d v="2020-07-01T00:00:00"/>
    <n v="484.8"/>
    <n v="1045"/>
    <n v="2.1555280528052805"/>
    <n v="0.46392344497607657"/>
    <x v="5"/>
  </r>
  <r>
    <x v="15"/>
    <d v="2020-08-01T00:00:00"/>
    <n v="509.45"/>
    <n v="1045"/>
    <n v="2.0512317204828738"/>
    <n v="0.48751196172248801"/>
    <x v="5"/>
  </r>
  <r>
    <x v="15"/>
    <d v="2020-09-01T00:00:00"/>
    <n v="539.36"/>
    <n v="1045"/>
    <n v="1.9374814595075645"/>
    <n v="0.516133971291866"/>
    <x v="5"/>
  </r>
  <r>
    <x v="15"/>
    <d v="2020-10-01T00:00:00"/>
    <n v="552.85"/>
    <n v="1045"/>
    <n v="1.8902052998100749"/>
    <n v="0.52904306220095698"/>
    <x v="5"/>
  </r>
  <r>
    <x v="15"/>
    <d v="2020-11-01T00:00:00"/>
    <n v="606.59"/>
    <n v="1045"/>
    <n v="1.7227451820834501"/>
    <n v="0.58046889952153113"/>
    <x v="5"/>
  </r>
  <r>
    <x v="15"/>
    <d v="2020-12-01T00:00:00"/>
    <n v="600.28"/>
    <n v="1045"/>
    <n v="1.7408542680082628"/>
    <n v="0.5744306220095694"/>
    <x v="5"/>
  </r>
  <r>
    <x v="15"/>
    <d v="2021-01-01T00:00:00"/>
    <n v="624.62"/>
    <n v="1100"/>
    <n v="1.7610707310044507"/>
    <n v="0.56783636363636369"/>
    <x v="6"/>
  </r>
  <r>
    <x v="15"/>
    <d v="2021-02-01T00:00:00"/>
    <n v="609.27"/>
    <n v="1100"/>
    <n v="1.8054392962069363"/>
    <n v="0.55388181818181814"/>
    <x v="6"/>
  </r>
  <r>
    <x v="15"/>
    <d v="2021-03-01T00:00:00"/>
    <n v="596.91"/>
    <n v="1100"/>
    <n v="1.8428238762962592"/>
    <n v="0.54264545454545454"/>
    <x v="6"/>
  </r>
  <r>
    <x v="15"/>
    <d v="2021-04-01T00:00:00"/>
    <n v="610.98"/>
    <n v="1100"/>
    <n v="1.8003862646895152"/>
    <n v="0.55543636363636362"/>
    <x v="6"/>
  </r>
  <r>
    <x v="15"/>
    <d v="2021-05-01T00:00:00"/>
    <n v="616.96"/>
    <n v="1100"/>
    <n v="1.7829356846473028"/>
    <n v="0.5608727272727273"/>
    <x v="6"/>
  </r>
  <r>
    <x v="15"/>
    <d v="2021-06-01T00:00:00"/>
    <n v="611.29"/>
    <n v="1100"/>
    <n v="1.7994732451046149"/>
    <n v="0.55571818181818178"/>
    <x v="6"/>
  </r>
  <r>
    <x v="15"/>
    <d v="2021-07-01T00:00:00"/>
    <n v="612.45000000000005"/>
    <n v="1100"/>
    <n v="1.7960649848967261"/>
    <n v="0.55677272727272731"/>
    <x v="6"/>
  </r>
  <r>
    <x v="15"/>
    <d v="2021-08-01T00:00:00"/>
    <n v="618.96"/>
    <n v="1100"/>
    <n v="1.7771746154840375"/>
    <n v="0.56269090909090913"/>
    <x v="6"/>
  </r>
  <r>
    <x v="15"/>
    <d v="2021-09-01T00:00:00"/>
    <n v="633.03"/>
    <n v="1100"/>
    <n v="1.7376743598249689"/>
    <n v="0.57548181818181821"/>
    <x v="6"/>
  </r>
  <r>
    <x v="15"/>
    <d v="2021-10-01T00:00:00"/>
    <n v="670.99"/>
    <n v="1100"/>
    <n v="1.6393686940192849"/>
    <n v="0.60999090909090914"/>
    <x v="6"/>
  </r>
  <r>
    <x v="15"/>
    <d v="2021-11-01T00:00:00"/>
    <n v="668.17"/>
    <n v="1100"/>
    <n v="1.6462876214137121"/>
    <n v="0.6074272727272727"/>
    <x v="6"/>
  </r>
  <r>
    <x v="15"/>
    <d v="2021-12-01T00:00:00"/>
    <n v="662.01"/>
    <n v="1100"/>
    <n v="1.6616063201462214"/>
    <n v="0.60182727272727277"/>
    <x v="6"/>
  </r>
  <r>
    <x v="15"/>
    <d v="2022-01-01T00:00:00"/>
    <n v="677.54"/>
    <n v="1212"/>
    <n v="1.7888242760575022"/>
    <n v="0.55902640264026404"/>
    <x v="7"/>
  </r>
  <r>
    <x v="15"/>
    <d v="2022-02-01T00:00:00"/>
    <n v="682.54"/>
    <n v="1212"/>
    <n v="1.7757201043162307"/>
    <n v="0.56315181518151813"/>
    <x v="7"/>
  </r>
  <r>
    <x v="15"/>
    <d v="2022-03-01T00:00:00"/>
    <n v="704.93"/>
    <n v="1212"/>
    <n v="1.7193196487594513"/>
    <n v="0.58162541254125411"/>
    <x v="7"/>
  </r>
  <r>
    <x v="15"/>
    <d v="2022-04-01T00:00:00"/>
    <n v="729.31"/>
    <n v="1212"/>
    <n v="1.6618447573734079"/>
    <n v="0.6017409240924092"/>
    <x v="7"/>
  </r>
  <r>
    <x v="15"/>
    <d v="2022-05-01T00:00:00"/>
    <n v="698.24"/>
    <n v="1212"/>
    <n v="1.7357928505957836"/>
    <n v="0.57610561056105614"/>
    <x v="7"/>
  </r>
  <r>
    <x v="15"/>
    <d v="2022-06-01T00:00:00"/>
    <n v="692.84"/>
    <n v="1212"/>
    <n v="1.7493216327001904"/>
    <n v="0.57165016501650168"/>
    <x v="7"/>
  </r>
  <r>
    <x v="15"/>
    <d v="2022-07-01T00:00:00"/>
    <n v="700.75"/>
    <n v="1212"/>
    <n v="1.7295754548697824"/>
    <n v="0.57817656765676573"/>
    <x v="7"/>
  </r>
  <r>
    <x v="15"/>
    <d v="2022-08-01T00:00:00"/>
    <n v="697.39"/>
    <n v="1212"/>
    <n v="1.7379084873600139"/>
    <n v="0.57540429042904284"/>
    <x v="7"/>
  </r>
  <r>
    <x v="15"/>
    <d v="2022-09-01T00:00:00"/>
    <n v="686.26"/>
    <n v="1212"/>
    <n v="1.7660944831405008"/>
    <n v="0.56622112211221121"/>
    <x v="7"/>
  </r>
  <r>
    <x v="15"/>
    <d v="2022-10-01T00:00:00"/>
    <n v="707.78"/>
    <n v="1212"/>
    <n v="1.7123965073893019"/>
    <n v="0.5839768976897689"/>
    <x v="7"/>
  </r>
  <r>
    <x v="15"/>
    <d v="2022-11-01T00:00:00"/>
    <n v="713.57"/>
    <n v="1212"/>
    <n v="1.6985018989027003"/>
    <n v="0.58875412541254124"/>
    <x v="7"/>
  </r>
  <r>
    <x v="15"/>
    <d v="2022-12-01T00:00:00"/>
    <n v="728.78"/>
    <n v="1212"/>
    <n v="1.6630533219901755"/>
    <n v="0.60130363036303625"/>
    <x v="7"/>
  </r>
  <r>
    <x v="15"/>
    <d v="2023-01-01T00:00:00"/>
    <n v="726.23"/>
    <n v="1302"/>
    <n v="1.792820456329262"/>
    <n v="0.55778033794162829"/>
    <x v="8"/>
  </r>
  <r>
    <x v="15"/>
    <d v="2023-02-01T00:00:00"/>
    <n v="709.21"/>
    <n v="1302"/>
    <n v="1.8358455182527036"/>
    <n v="0.54470814132104461"/>
    <x v="8"/>
  </r>
  <r>
    <x v="15"/>
    <d v="2023-03-01T00:00:00"/>
    <n v="699.16"/>
    <n v="1302"/>
    <n v="1.8622346816179416"/>
    <n v="0.53698924731182796"/>
    <x v="8"/>
  </r>
  <r>
    <x v="15"/>
    <d v="2023-04-01T00:00:00"/>
    <n v="703.9"/>
    <n v="1302"/>
    <n v="1.8496945588862055"/>
    <n v="0.54062980030721963"/>
    <x v="8"/>
  </r>
  <r>
    <x v="15"/>
    <d v="2023-05-01T00:00:00"/>
    <n v="706.06"/>
    <n v="1320"/>
    <n v="1.8695295017420617"/>
    <n v="0.53489393939393937"/>
    <x v="8"/>
  </r>
  <r>
    <x v="15"/>
    <d v="2023-06-01T00:00:00"/>
    <n v="691.34"/>
    <n v="1320"/>
    <n v="1.9093354933896489"/>
    <n v="0.52374242424242423"/>
    <x v="8"/>
  </r>
  <r>
    <x v="15"/>
    <d v="2023-07-01T00:00:00"/>
    <n v="674.54"/>
    <n v="1320"/>
    <n v="1.9568891392652772"/>
    <n v="0.51101515151515153"/>
    <x v="8"/>
  </r>
  <r>
    <x v="15"/>
    <d v="2023-08-01T00:00:00"/>
    <n v="660.88"/>
    <n v="1320"/>
    <n v="1.9973368841544608"/>
    <n v="0.5006666666666667"/>
    <x v="8"/>
  </r>
  <r>
    <x v="15"/>
    <d v="2023-09-01T00:00:00"/>
    <n v="681.91"/>
    <n v="1320"/>
    <n v="1.935739320438181"/>
    <n v="0.51659848484848481"/>
    <x v="8"/>
  </r>
  <r>
    <x v="15"/>
    <d v="2023-10-01T00:00:00"/>
    <n v="675.16"/>
    <n v="1320"/>
    <n v="1.9550921263108005"/>
    <n v="0.51148484848484843"/>
    <x v="8"/>
  </r>
  <r>
    <x v="15"/>
    <d v="2023-11-01T00:00:00"/>
    <n v="675.45"/>
    <n v="1320"/>
    <n v="1.9542527204086164"/>
    <n v="0.51170454545454547"/>
    <x v="8"/>
  </r>
  <r>
    <x v="15"/>
    <d v="2023-12-01T00:00:00"/>
    <n v="688.86"/>
    <n v="1320"/>
    <n v="1.9162093894260082"/>
    <n v="0.52186363636363642"/>
    <x v="8"/>
  </r>
  <r>
    <x v="15"/>
    <d v="2024-01-01T00:00:00"/>
    <n v="719.3"/>
    <n v="1412"/>
    <n v="1.9630196023912139"/>
    <n v="0.50941926345609057"/>
    <x v="9"/>
  </r>
  <r>
    <x v="15"/>
    <d v="2024-02-01T00:00:00"/>
    <n v="731.83"/>
    <n v="1412"/>
    <n v="1.9294098356175613"/>
    <n v="0.51829320113314448"/>
    <x v="9"/>
  </r>
  <r>
    <x v="15"/>
    <d v="2024-03-01T00:00:00"/>
    <n v="729.34"/>
    <n v="1412"/>
    <n v="1.9359969287300847"/>
    <n v="0.51652974504249294"/>
    <x v="9"/>
  </r>
  <r>
    <x v="15"/>
    <d v="2024-04-01T00:00:00"/>
    <n v="726.82"/>
    <n v="1412"/>
    <n v="1.9427093365620096"/>
    <n v="0.51474504249291786"/>
    <x v="9"/>
  </r>
  <r>
    <x v="15"/>
    <d v="2024-05-01T00:00:00"/>
    <n v="723.91"/>
    <n v="1412"/>
    <n v="1.9505187108894753"/>
    <n v="0.51268413597733709"/>
    <x v="9"/>
  </r>
  <r>
    <x v="15"/>
    <d v="2024-06-01T00:00:00"/>
    <n v="718.43"/>
    <n v="1412"/>
    <n v="1.9653967679523408"/>
    <n v="0.50880311614730878"/>
    <x v="9"/>
  </r>
  <r>
    <x v="15"/>
    <d v="2024-07-01T00:00:00"/>
    <n v="688.45"/>
    <n v="1412"/>
    <n v="2.0509840947054978"/>
    <n v="0.48757082152974507"/>
    <x v="9"/>
  </r>
  <r>
    <x v="15"/>
    <d v="2024-08-01T00:00:00"/>
    <n v="684.21"/>
    <n v="1412"/>
    <n v="2.0636938951491501"/>
    <n v="0.48456798866855527"/>
    <x v="9"/>
  </r>
  <r>
    <x v="15"/>
    <d v="2024-09-01T00:00:00"/>
    <n v="694.87"/>
    <n v="1412"/>
    <n v="2.0320347690934994"/>
    <n v="0.49211756373937676"/>
    <x v="9"/>
  </r>
  <r>
    <x v="15"/>
    <d v="2024-10-01T00:00:00"/>
    <n v="708.06"/>
    <n v="1412"/>
    <n v="1.9941812840719715"/>
    <n v="0.50145892351274779"/>
    <x v="9"/>
  </r>
  <r>
    <x v="15"/>
    <d v="2024-11-01T00:00:00"/>
    <n v="726.51"/>
    <n v="1412"/>
    <n v="1.9435382857772088"/>
    <n v="0.51452549575070816"/>
    <x v="9"/>
  </r>
  <r>
    <x v="15"/>
    <d v="2024-12-01T00:00:00"/>
    <n v="747.42"/>
    <n v="1412"/>
    <n v="1.8891653956276258"/>
    <n v="0.52933427762039653"/>
    <x v="9"/>
  </r>
  <r>
    <x v="15"/>
    <d v="2025-01-01T00:00:00"/>
    <n v="735.31"/>
    <n v="1518"/>
    <n v="2.064435408195183"/>
    <n v="0.48439393939393938"/>
    <x v="10"/>
  </r>
  <r>
    <x v="15"/>
    <d v="2025-02-01T00:00:00"/>
    <n v="745.49"/>
    <n v="1518"/>
    <n v="2.0362446176340394"/>
    <n v="0.49110013175230566"/>
    <x v="10"/>
  </r>
  <r>
    <x v="15"/>
    <d v="2025-03-01T00:00:00"/>
    <n v="762.94"/>
    <n v="1518"/>
    <n v="1.9896715338034445"/>
    <n v="0.50259552042160738"/>
    <x v="10"/>
  </r>
  <r>
    <x v="15"/>
    <d v="2025-04-01T00:00:00"/>
    <n v="793.86"/>
    <n v="1518"/>
    <n v="1.9121759504194693"/>
    <n v="0.52296442687747036"/>
    <x v="10"/>
  </r>
  <r>
    <x v="15"/>
    <d v="2025-05-01T00:00:00"/>
    <n v="784.96"/>
    <n v="1518"/>
    <n v="1.9338565022421523"/>
    <n v="0.51710144927536239"/>
    <x v="10"/>
  </r>
  <r>
    <x v="15"/>
    <d v="2025-06-01T00:00:00"/>
    <n v="782.39"/>
    <n v="1518"/>
    <n v="1.9402088472500927"/>
    <n v="0.5154084321475626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E202C3-1AE0-434E-9423-8C170CA04799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1" firstHeaderRow="1" firstDataRow="1" firstDataCol="1"/>
  <pivotFields count="4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6"/>
        <item x="13"/>
        <item x="14"/>
        <item x="15"/>
        <item t="default"/>
      </items>
    </pivotField>
    <pivotField showAll="0"/>
    <pivotField dataField="1" numFmtId="14"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ontagem de data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B9CDD-BCB1-4970-9FEC-237F4AD7FED5}" name="Tabela dinâmica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2">
  <location ref="A3:D15" firstHeaderRow="1" firstDataRow="2" firstDataCol="1"/>
  <pivotFields count="7">
    <pivotField axis="axisCol" showAll="0">
      <items count="17">
        <item x="0"/>
        <item h="1" x="2"/>
        <item h="1" x="1"/>
        <item h="1" x="3"/>
        <item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x="15"/>
        <item t="default"/>
      </items>
    </pivotField>
    <pivotField numFmtId="14" showAll="0"/>
    <pivotField numFmtId="44" showAll="0"/>
    <pivotField showAll="0"/>
    <pivotField dataField="1" numFmtId="2" showAll="0"/>
    <pivotField numFmtId="9"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0"/>
  </colFields>
  <colItems count="3">
    <i>
      <x/>
    </i>
    <i>
      <x v="4"/>
    </i>
    <i>
      <x v="14"/>
    </i>
  </colItems>
  <dataFields count="1">
    <dataField name="Média de cestas_por_salario" fld="4" subtotal="average" baseField="6" baseItem="0" numFmtId="2"/>
  </dataFields>
  <chartFormats count="1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5"/>
          </reference>
        </references>
      </pivotArea>
    </chartFormat>
    <chartFormat chart="0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F4101C-DBE1-4098-BE32-93C53303DBDB}" name="Tabela dinâmica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3">
  <location ref="A3:B19" firstHeaderRow="1" firstDataRow="1" firstDataCol="1"/>
  <pivotFields count="7">
    <pivotField axis="axisRow" showAll="0" sortType="descending">
      <items count="17"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numFmtId="44" showAll="0"/>
    <pivotField showAll="0"/>
    <pivotField dataField="1" numFmtId="2" showAll="0"/>
    <pivotField numFmtId="9" showAll="0"/>
    <pivotField showAll="0">
      <items count="12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t="default"/>
      </items>
    </pivotField>
  </pivotFields>
  <rowFields count="1">
    <field x="0"/>
  </rowFields>
  <rowItems count="16">
    <i>
      <x v="15"/>
    </i>
    <i>
      <x v="2"/>
    </i>
    <i>
      <x v="4"/>
    </i>
    <i>
      <x v="7"/>
    </i>
    <i>
      <x v="6"/>
    </i>
    <i>
      <x v="14"/>
    </i>
    <i>
      <x v="9"/>
    </i>
    <i>
      <x v="13"/>
    </i>
    <i>
      <x v="8"/>
    </i>
    <i>
      <x/>
    </i>
    <i>
      <x v="11"/>
    </i>
    <i>
      <x v="12"/>
    </i>
    <i>
      <x v="5"/>
    </i>
    <i>
      <x v="3"/>
    </i>
    <i>
      <x v="10"/>
    </i>
    <i>
      <x v="1"/>
    </i>
  </rowItems>
  <colItems count="1">
    <i/>
  </colItems>
  <dataFields count="1">
    <dataField name="Média de cestas_por_salario" fld="4" subtotal="average" baseField="0" baseItem="0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2" xr16:uid="{2972FDFB-2D7D-4A45-A890-A50F3E9F663D}" autoFormatId="16" applyNumberFormats="0" applyBorderFormats="0" applyFontFormats="0" applyPatternFormats="0" applyAlignmentFormats="0" applyWidthHeightFormats="0">
  <queryTableRefresh nextId="8">
    <queryTableFields count="7">
      <queryTableField id="1" name="capital" tableColumnId="1"/>
      <queryTableField id="2" name="data" tableColumnId="2"/>
      <queryTableField id="3" name="cesta" tableColumnId="3"/>
      <queryTableField id="4" name="salario_minimo" tableColumnId="4"/>
      <queryTableField id="5" name="cestas_por_salario" tableColumnId="5"/>
      <queryTableField id="6" name="pct_salario_cesta" tableColumnId="6"/>
      <queryTableField id="7" name="ano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67632B28-7C41-4EE1-B32A-2B1BFB3F93E4}" autoFormatId="16" applyNumberFormats="0" applyBorderFormats="0" applyFontFormats="0" applyPatternFormats="0" applyAlignmentFormats="0" applyWidthHeightFormats="0">
  <queryTableRefresh nextId="3">
    <queryTableFields count="2">
      <queryTableField id="1" name="data" tableColumnId="1"/>
      <queryTableField id="2" name="salario_minim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C1A1DF7-105B-4CAB-A55A-493925E4FA89}" autoFormatId="16" applyNumberFormats="0" applyBorderFormats="0" applyFontFormats="0" applyPatternFormats="0" applyAlignmentFormats="0" applyWidthHeightFormats="0">
  <queryTableRefresh nextId="5">
    <queryTableFields count="4">
      <queryTableField id="1" name="serie" tableColumnId="1"/>
      <queryTableField id="2" name="tipo" tableColumnId="2"/>
      <queryTableField id="3" name="data" tableColumnId="3"/>
      <queryTableField id="4" name="valor" tableColumnId="4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pital" xr10:uid="{90069408-4F21-4685-8FB7-1B78C0E79763}" sourceName="capital">
  <pivotTables>
    <pivotTable tabId="7" name="Tabela dinâmica1"/>
  </pivotTables>
  <data>
    <tabular pivotCacheId="762420310">
      <items count="16">
        <i x="0" s="1"/>
        <i x="2"/>
        <i x="1"/>
        <i x="3"/>
        <i x="4" s="1"/>
        <i x="5"/>
        <i x="6"/>
        <i x="7"/>
        <i x="8"/>
        <i x="9"/>
        <i x="10"/>
        <i x="11"/>
        <i x="12"/>
        <i x="13"/>
        <i x="14" s="1"/>
        <i x="15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" xr10:uid="{9B5EACAE-E0C7-4413-BC01-35C1020406F7}" sourceName="ano">
  <pivotTables>
    <pivotTable tabId="8" name="Tabela dinâmica1"/>
  </pivotTables>
  <data>
    <tabular pivotCacheId="762420310">
      <items count="11">
        <i x="0"/>
        <i x="1"/>
        <i x="2"/>
        <i x="3"/>
        <i x="4"/>
        <i x="5"/>
        <i x="6"/>
        <i x="7"/>
        <i x="8"/>
        <i x="9"/>
        <i x="1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pital" xr10:uid="{6F1F7A67-2D50-4F6E-9B58-8A3575925B4C}" cache="SegmentaçãodeDados_capital" caption="capital" startItem="8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no" xr10:uid="{886F362E-519A-4C30-A5CF-ED9D0D39E927}" cache="SegmentaçãodeDados_ano" caption="ano" startItem="3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B918E1-AEA3-4473-B389-F73BBD45BEE3}" name="cesta_capitais" displayName="cesta_capitais" ref="A1:G2015" tableType="queryTable" totalsRowShown="0">
  <autoFilter ref="A1:G2015" xr:uid="{64B918E1-AEA3-4473-B389-F73BBD45BEE3}"/>
  <tableColumns count="7">
    <tableColumn id="1" xr3:uid="{E587F9A5-5BCC-4193-80DA-6720609801C9}" uniqueName="1" name="capital" queryTableFieldId="1" dataDxfId="12"/>
    <tableColumn id="2" xr3:uid="{AC83B37D-1994-489A-8DCF-951A6FC69623}" uniqueName="2" name="data" queryTableFieldId="2" dataDxfId="11"/>
    <tableColumn id="3" xr3:uid="{C80AE2C1-D043-47E9-98B8-51D2734C9053}" uniqueName="3" name="cesta" queryTableFieldId="3" dataCellStyle="Moeda"/>
    <tableColumn id="4" xr3:uid="{86F99542-9C84-44E3-9201-C62BA444D748}" uniqueName="4" name="salario_minimo" queryTableFieldId="4"/>
    <tableColumn id="5" xr3:uid="{DF6FDF68-0E04-4F68-ACDF-7EB265BEEA19}" uniqueName="5" name="cestas_por_salario" queryTableFieldId="5" dataDxfId="10"/>
    <tableColumn id="6" xr3:uid="{2A5B3E10-36BA-482A-91C2-0E245C9602DD}" uniqueName="6" name="pct_salario_cesta" queryTableFieldId="6" dataCellStyle="Porcentagem"/>
    <tableColumn id="7" xr3:uid="{610FE4C0-B2EA-4A37-9C74-0B34D0FD4A2E}" uniqueName="7" name="ano" queryTableFieldId="7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286CA8-CF1F-46CC-AB85-F0FCE3B232FD}" name="salario_minimo" displayName="salario_minimo" ref="A1:B127" tableType="queryTable" totalsRowShown="0">
  <autoFilter ref="A1:B127" xr:uid="{A8286CA8-CF1F-46CC-AB85-F0FCE3B232FD}"/>
  <tableColumns count="2">
    <tableColumn id="1" xr3:uid="{B6B1FA87-5D99-4861-AE05-7C2FDEB424B4}" uniqueName="1" name="data" queryTableFieldId="1" dataDxfId="9"/>
    <tableColumn id="2" xr3:uid="{C1EECF86-2BDD-4FAA-8E89-8361DF9EF196}" uniqueName="2" name="salario_minim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C15F56-007E-4B12-ABBB-1C7025190A0C}" name="base_cesta_salario" displayName="base_cesta_salario" ref="A1:D2141" tableType="queryTable" totalsRowShown="0">
  <autoFilter ref="A1:D2141" xr:uid="{27C15F56-007E-4B12-ABBB-1C7025190A0C}"/>
  <tableColumns count="4">
    <tableColumn id="1" xr3:uid="{793EE9BF-489B-4EA8-870A-DB46D0653F22}" uniqueName="1" name="serie" queryTableFieldId="1" dataDxfId="8"/>
    <tableColumn id="2" xr3:uid="{16E437F1-3B04-4F32-AB22-DA77E24F35DA}" uniqueName="2" name="tipo" queryTableFieldId="2" dataDxfId="7"/>
    <tableColumn id="3" xr3:uid="{EE85BCBD-CF34-427E-A9A5-3D2DF907C51F}" uniqueName="3" name="data" queryTableFieldId="3" dataDxfId="6"/>
    <tableColumn id="4" xr3:uid="{9017B63D-41D8-4C8F-BEDE-51F0ECF5856C}" uniqueName="4" name="valor" queryTableFieldId="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62CA85-2EC3-4D04-86BF-0370025AF7E2}" name="tbl_dicionario" displayName="tbl_dicionario" ref="A1:D18" totalsRowShown="0" headerRowDxfId="5" dataDxfId="4">
  <autoFilter ref="A1:D18" xr:uid="{A162CA85-2EC3-4D04-86BF-0370025AF7E2}"/>
  <tableColumns count="4">
    <tableColumn id="1" xr3:uid="{537B4842-C1C4-4E1F-8E47-BA130C4000F5}" name="codigo_sgs" dataDxfId="3"/>
    <tableColumn id="2" xr3:uid="{18764670-DA58-4499-B398-12C109CFC777}" name="serie" dataDxfId="2"/>
    <tableColumn id="3" xr3:uid="{75C143B3-F4FE-44BF-A1F0-3BF8C3D2744E}" name="tipo" dataDxfId="1"/>
    <tableColumn id="4" xr3:uid="{E950E5B4-38C2-4943-837B-FA308916E009}" name="fonte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3.xml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60E4B-A76E-4881-B4DF-A1D5D1C69466}">
  <dimension ref="A3:B21"/>
  <sheetViews>
    <sheetView topLeftCell="A3" workbookViewId="0">
      <selection activeCell="A3" sqref="A3"/>
    </sheetView>
  </sheetViews>
  <sheetFormatPr defaultRowHeight="15" x14ac:dyDescent="0.25"/>
  <cols>
    <col min="1" max="1" width="18" bestFit="1" customWidth="1"/>
    <col min="2" max="2" width="17.28515625" bestFit="1" customWidth="1"/>
  </cols>
  <sheetData>
    <row r="3" spans="1:2" x14ac:dyDescent="0.25">
      <c r="A3" s="5" t="s">
        <v>27</v>
      </c>
      <c r="B3" t="s">
        <v>29</v>
      </c>
    </row>
    <row r="4" spans="1:2" x14ac:dyDescent="0.25">
      <c r="A4" s="6" t="s">
        <v>4</v>
      </c>
      <c r="B4">
        <v>126</v>
      </c>
    </row>
    <row r="5" spans="1:2" x14ac:dyDescent="0.25">
      <c r="A5" s="6" t="s">
        <v>7</v>
      </c>
      <c r="B5">
        <v>126</v>
      </c>
    </row>
    <row r="6" spans="1:2" x14ac:dyDescent="0.25">
      <c r="A6" s="6" t="s">
        <v>8</v>
      </c>
      <c r="B6">
        <v>125</v>
      </c>
    </row>
    <row r="7" spans="1:2" x14ac:dyDescent="0.25">
      <c r="A7" s="6" t="s">
        <v>9</v>
      </c>
      <c r="B7">
        <v>125</v>
      </c>
    </row>
    <row r="8" spans="1:2" x14ac:dyDescent="0.25">
      <c r="A8" s="6" t="s">
        <v>10</v>
      </c>
      <c r="B8">
        <v>126</v>
      </c>
    </row>
    <row r="9" spans="1:2" x14ac:dyDescent="0.25">
      <c r="A9" s="6" t="s">
        <v>11</v>
      </c>
      <c r="B9">
        <v>126</v>
      </c>
    </row>
    <row r="10" spans="1:2" x14ac:dyDescent="0.25">
      <c r="A10" s="6" t="s">
        <v>12</v>
      </c>
      <c r="B10">
        <v>126</v>
      </c>
    </row>
    <row r="11" spans="1:2" x14ac:dyDescent="0.25">
      <c r="A11" s="6" t="s">
        <v>13</v>
      </c>
      <c r="B11">
        <v>126</v>
      </c>
    </row>
    <row r="12" spans="1:2" x14ac:dyDescent="0.25">
      <c r="A12" s="6" t="s">
        <v>14</v>
      </c>
      <c r="B12">
        <v>126</v>
      </c>
    </row>
    <row r="13" spans="1:2" x14ac:dyDescent="0.25">
      <c r="A13" s="6" t="s">
        <v>15</v>
      </c>
      <c r="B13">
        <v>126</v>
      </c>
    </row>
    <row r="14" spans="1:2" x14ac:dyDescent="0.25">
      <c r="A14" s="6" t="s">
        <v>16</v>
      </c>
      <c r="B14">
        <v>126</v>
      </c>
    </row>
    <row r="15" spans="1:2" x14ac:dyDescent="0.25">
      <c r="A15" s="6" t="s">
        <v>17</v>
      </c>
      <c r="B15">
        <v>126</v>
      </c>
    </row>
    <row r="16" spans="1:2" x14ac:dyDescent="0.25">
      <c r="A16" s="6" t="s">
        <v>18</v>
      </c>
      <c r="B16">
        <v>126</v>
      </c>
    </row>
    <row r="17" spans="1:2" x14ac:dyDescent="0.25">
      <c r="A17" s="6" t="s">
        <v>22</v>
      </c>
      <c r="B17">
        <v>126</v>
      </c>
    </row>
    <row r="18" spans="1:2" x14ac:dyDescent="0.25">
      <c r="A18" s="6" t="s">
        <v>19</v>
      </c>
      <c r="B18">
        <v>126</v>
      </c>
    </row>
    <row r="19" spans="1:2" x14ac:dyDescent="0.25">
      <c r="A19" s="6" t="s">
        <v>20</v>
      </c>
      <c r="B19">
        <v>126</v>
      </c>
    </row>
    <row r="20" spans="1:2" x14ac:dyDescent="0.25">
      <c r="A20" s="6" t="s">
        <v>21</v>
      </c>
      <c r="B20">
        <v>126</v>
      </c>
    </row>
    <row r="21" spans="1:2" x14ac:dyDescent="0.25">
      <c r="A21" s="6" t="s">
        <v>28</v>
      </c>
      <c r="B21">
        <v>2140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52CFA-3AB5-4E2E-91B7-1822D09758B3}">
  <dimension ref="A3:D15"/>
  <sheetViews>
    <sheetView topLeftCell="A14" zoomScaleNormal="100" workbookViewId="0">
      <selection activeCell="M24" sqref="M24"/>
    </sheetView>
  </sheetViews>
  <sheetFormatPr defaultRowHeight="15" x14ac:dyDescent="0.25"/>
  <cols>
    <col min="1" max="1" width="26.7109375" bestFit="1" customWidth="1"/>
    <col min="2" max="2" width="19.5703125" bestFit="1" customWidth="1"/>
    <col min="3" max="3" width="8" bestFit="1" customWidth="1"/>
    <col min="4" max="4" width="9.5703125" bestFit="1" customWidth="1"/>
    <col min="5" max="5" width="7.42578125" bestFit="1" customWidth="1"/>
    <col min="6" max="6" width="8" bestFit="1" customWidth="1"/>
    <col min="7" max="7" width="12.5703125" bestFit="1" customWidth="1"/>
    <col min="9" max="9" width="7.85546875" bestFit="1" customWidth="1"/>
    <col min="10" max="10" width="11.5703125" bestFit="1" customWidth="1"/>
    <col min="11" max="11" width="5.7109375" bestFit="1" customWidth="1"/>
    <col min="12" max="12" width="12.140625" bestFit="1" customWidth="1"/>
    <col min="13" max="13" width="6.5703125" bestFit="1" customWidth="1"/>
    <col min="14" max="14" width="13.5703125" bestFit="1" customWidth="1"/>
    <col min="15" max="15" width="8.5703125" bestFit="1" customWidth="1"/>
    <col min="16" max="16" width="9.5703125" bestFit="1" customWidth="1"/>
    <col min="17" max="17" width="7" bestFit="1" customWidth="1"/>
    <col min="18" max="18" width="10.7109375" bestFit="1" customWidth="1"/>
  </cols>
  <sheetData>
    <row r="3" spans="1:4" x14ac:dyDescent="0.25">
      <c r="A3" s="5" t="s">
        <v>35</v>
      </c>
      <c r="B3" s="5" t="s">
        <v>34</v>
      </c>
    </row>
    <row r="4" spans="1:4" x14ac:dyDescent="0.25">
      <c r="A4" s="5" t="s">
        <v>27</v>
      </c>
      <c r="B4" t="s">
        <v>4</v>
      </c>
      <c r="C4" t="s">
        <v>10</v>
      </c>
      <c r="D4" t="s">
        <v>20</v>
      </c>
    </row>
    <row r="5" spans="1:4" x14ac:dyDescent="0.25">
      <c r="A5" s="6">
        <v>2015</v>
      </c>
      <c r="B5" s="8">
        <v>2.819742180604734</v>
      </c>
      <c r="C5" s="8">
        <v>2.2042741922342444</v>
      </c>
      <c r="D5" s="8">
        <v>2.0265348255247821</v>
      </c>
    </row>
    <row r="6" spans="1:4" x14ac:dyDescent="0.25">
      <c r="A6" s="6">
        <v>2016</v>
      </c>
      <c r="B6" s="8">
        <v>2.4371021416645529</v>
      </c>
      <c r="C6" s="8">
        <v>2.1331970523029522</v>
      </c>
      <c r="D6" s="8">
        <v>1.9295165999099531</v>
      </c>
    </row>
    <row r="7" spans="1:4" x14ac:dyDescent="0.25">
      <c r="A7" s="6">
        <v>2017</v>
      </c>
      <c r="B7" s="8">
        <v>2.6553366612543341</v>
      </c>
      <c r="C7" s="8">
        <v>2.4030273261941391</v>
      </c>
      <c r="D7" s="8">
        <v>2.1559922474743165</v>
      </c>
    </row>
    <row r="8" spans="1:4" x14ac:dyDescent="0.25">
      <c r="A8" s="6">
        <v>2018</v>
      </c>
      <c r="B8" s="8">
        <v>2.7553505688487689</v>
      </c>
      <c r="C8" s="8">
        <v>2.3827338321280624</v>
      </c>
      <c r="D8" s="8">
        <v>2.1480859894873299</v>
      </c>
    </row>
    <row r="9" spans="1:4" x14ac:dyDescent="0.25">
      <c r="A9" s="6">
        <v>2019</v>
      </c>
      <c r="B9" s="8">
        <v>2.7722817015943235</v>
      </c>
      <c r="C9" s="8">
        <v>2.2969961280078222</v>
      </c>
      <c r="D9" s="8">
        <v>2.0379451737683953</v>
      </c>
    </row>
    <row r="10" spans="1:4" x14ac:dyDescent="0.25">
      <c r="A10" s="6">
        <v>2020</v>
      </c>
      <c r="B10" s="8">
        <v>2.5607098792882179</v>
      </c>
      <c r="C10" s="8">
        <v>2.0705383126998336</v>
      </c>
      <c r="D10" s="8">
        <v>1.8793531236290792</v>
      </c>
    </row>
    <row r="11" spans="1:4" x14ac:dyDescent="0.25">
      <c r="A11" s="6">
        <v>2021</v>
      </c>
      <c r="B11" s="8">
        <v>2.3632904769694192</v>
      </c>
      <c r="C11" s="8">
        <v>1.8216257093868713</v>
      </c>
      <c r="D11" s="8">
        <v>1.6825463931359976</v>
      </c>
    </row>
    <row r="12" spans="1:4" x14ac:dyDescent="0.25">
      <c r="A12" s="6">
        <v>2022</v>
      </c>
      <c r="B12" s="8">
        <v>2.2928173056911825</v>
      </c>
      <c r="C12" s="8">
        <v>1.7541205515733573</v>
      </c>
      <c r="D12" s="8">
        <v>1.5919932154003671</v>
      </c>
    </row>
    <row r="13" spans="1:4" x14ac:dyDescent="0.25">
      <c r="A13" s="6">
        <v>2023</v>
      </c>
      <c r="B13" s="8">
        <v>2.4253925415811266</v>
      </c>
      <c r="C13" s="8">
        <v>1.9080484484336149</v>
      </c>
      <c r="D13" s="8">
        <v>1.7110089254433962</v>
      </c>
    </row>
    <row r="14" spans="1:4" x14ac:dyDescent="0.25">
      <c r="A14" s="6">
        <v>2024</v>
      </c>
      <c r="B14" s="8">
        <v>2.6136711848912193</v>
      </c>
      <c r="C14" s="8">
        <v>1.9417493342946817</v>
      </c>
      <c r="D14" s="8">
        <v>1.7365201646631858</v>
      </c>
    </row>
    <row r="15" spans="1:4" x14ac:dyDescent="0.25">
      <c r="A15" s="6">
        <v>2025</v>
      </c>
      <c r="B15" s="8">
        <v>2.6496860485551301</v>
      </c>
      <c r="C15" s="8">
        <v>1.9655132131687141</v>
      </c>
      <c r="D15" s="8">
        <v>1.7254521570752495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954B9-EEC5-460E-8529-D2D0AB1BB7DD}">
  <dimension ref="A3:B19"/>
  <sheetViews>
    <sheetView topLeftCell="A20" zoomScale="90" zoomScaleNormal="90" workbookViewId="0">
      <selection activeCell="L31" sqref="L31"/>
    </sheetView>
  </sheetViews>
  <sheetFormatPr defaultRowHeight="15" x14ac:dyDescent="0.25"/>
  <cols>
    <col min="1" max="1" width="18.140625" bestFit="1" customWidth="1"/>
    <col min="2" max="2" width="26.7109375" bestFit="1" customWidth="1"/>
  </cols>
  <sheetData>
    <row r="3" spans="1:2" x14ac:dyDescent="0.25">
      <c r="A3" s="5" t="s">
        <v>27</v>
      </c>
      <c r="B3" t="s">
        <v>35</v>
      </c>
    </row>
    <row r="4" spans="1:2" x14ac:dyDescent="0.25">
      <c r="A4" s="6" t="s">
        <v>4</v>
      </c>
      <c r="B4" s="8">
        <v>2.6496860485551301</v>
      </c>
    </row>
    <row r="5" spans="1:2" x14ac:dyDescent="0.25">
      <c r="A5" s="6" t="s">
        <v>19</v>
      </c>
      <c r="B5" s="8">
        <v>2.4176166491851157</v>
      </c>
    </row>
    <row r="6" spans="1:2" x14ac:dyDescent="0.25">
      <c r="A6" s="6" t="s">
        <v>17</v>
      </c>
      <c r="B6" s="8">
        <v>2.412774729917873</v>
      </c>
    </row>
    <row r="7" spans="1:2" x14ac:dyDescent="0.25">
      <c r="A7" s="6" t="s">
        <v>14</v>
      </c>
      <c r="B7" s="8">
        <v>2.4007233869968827</v>
      </c>
    </row>
    <row r="8" spans="1:2" x14ac:dyDescent="0.25">
      <c r="A8" s="6" t="s">
        <v>15</v>
      </c>
      <c r="B8" s="8">
        <v>2.3611095502383512</v>
      </c>
    </row>
    <row r="9" spans="1:2" x14ac:dyDescent="0.25">
      <c r="A9" s="6" t="s">
        <v>7</v>
      </c>
      <c r="B9" s="8">
        <v>2.1363837353705728</v>
      </c>
    </row>
    <row r="10" spans="1:2" x14ac:dyDescent="0.25">
      <c r="A10" s="6" t="s">
        <v>12</v>
      </c>
      <c r="B10" s="8">
        <v>2.0953598205731372</v>
      </c>
    </row>
    <row r="11" spans="1:2" x14ac:dyDescent="0.25">
      <c r="A11" s="6" t="s">
        <v>8</v>
      </c>
      <c r="B11" s="8">
        <v>2.0702464849487012</v>
      </c>
    </row>
    <row r="12" spans="1:2" x14ac:dyDescent="0.25">
      <c r="A12" s="6" t="s">
        <v>13</v>
      </c>
      <c r="B12" s="8">
        <v>2.015043975634621</v>
      </c>
    </row>
    <row r="13" spans="1:2" x14ac:dyDescent="0.25">
      <c r="A13" s="6" t="s">
        <v>21</v>
      </c>
      <c r="B13" s="8">
        <v>1.9794321432573969</v>
      </c>
    </row>
    <row r="14" spans="1:2" x14ac:dyDescent="0.25">
      <c r="A14" s="6" t="s">
        <v>10</v>
      </c>
      <c r="B14" s="8">
        <v>1.9655132131687141</v>
      </c>
    </row>
    <row r="15" spans="1:2" x14ac:dyDescent="0.25">
      <c r="A15" s="6" t="s">
        <v>9</v>
      </c>
      <c r="B15" s="8">
        <v>1.9654767924498255</v>
      </c>
    </row>
    <row r="16" spans="1:2" x14ac:dyDescent="0.25">
      <c r="A16" s="6" t="s">
        <v>16</v>
      </c>
      <c r="B16" s="8">
        <v>1.8930636765246536</v>
      </c>
    </row>
    <row r="17" spans="1:2" x14ac:dyDescent="0.25">
      <c r="A17" s="6" t="s">
        <v>18</v>
      </c>
      <c r="B17" s="8">
        <v>1.8245230670070904</v>
      </c>
    </row>
    <row r="18" spans="1:2" x14ac:dyDescent="0.25">
      <c r="A18" s="6" t="s">
        <v>11</v>
      </c>
      <c r="B18" s="8">
        <v>1.8110628057641023</v>
      </c>
    </row>
    <row r="19" spans="1:2" x14ac:dyDescent="0.25">
      <c r="A19" s="6" t="s">
        <v>20</v>
      </c>
      <c r="B19" s="8">
        <v>1.7254521570752495</v>
      </c>
    </row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0AAD6-CD50-400C-8692-32D9CA9FDEFF}">
  <dimension ref="B1:I6"/>
  <sheetViews>
    <sheetView showGridLines="0" tabSelected="1" workbookViewId="0">
      <selection activeCell="L9" sqref="L9"/>
    </sheetView>
  </sheetViews>
  <sheetFormatPr defaultColWidth="11.7109375" defaultRowHeight="15" x14ac:dyDescent="0.25"/>
  <cols>
    <col min="1" max="1" width="3.7109375" style="10" customWidth="1"/>
    <col min="2" max="16384" width="11.7109375" style="10"/>
  </cols>
  <sheetData>
    <row r="1" spans="2:9" ht="26.25" x14ac:dyDescent="0.4">
      <c r="B1" s="12" t="s">
        <v>36</v>
      </c>
    </row>
    <row r="2" spans="2:9" x14ac:dyDescent="0.25">
      <c r="B2" s="11" t="s">
        <v>37</v>
      </c>
    </row>
    <row r="4" spans="2:9" x14ac:dyDescent="0.25">
      <c r="B4" s="14" t="s">
        <v>38</v>
      </c>
      <c r="C4" s="13"/>
      <c r="E4" s="20" t="s">
        <v>40</v>
      </c>
      <c r="F4" s="21"/>
      <c r="G4" s="19"/>
      <c r="H4" s="22" t="s">
        <v>42</v>
      </c>
      <c r="I4" s="13"/>
    </row>
    <row r="5" spans="2:9" ht="26.25" x14ac:dyDescent="0.25">
      <c r="B5" s="15">
        <f>AVERAGEIFS(cesta_capitais[cestas_por_salario],cesta_capitais[capital],"Curitiba",cesta_capitais[ano],2024)</f>
        <v>1.9417493342946814</v>
      </c>
      <c r="C5" s="16"/>
      <c r="E5" s="24">
        <f>AVERAGEIFS(cesta_capitais[cestas_por_salario],cesta_capitais[capital],"Curitiba",cesta_capitais[ano],2024)/AVERAGEIFS(cesta_capitais[cestas_por_salario],cesta_capitais[capital],"Curitiba",cesta_capitais[ano],2015)-1</f>
        <v>-0.11909809535694316</v>
      </c>
      <c r="F5" s="25"/>
      <c r="H5" s="24">
        <f>AVERAGEIFS(cesta_capitais[pct_salario_cesta],cesta_capitais[capital],"Curitiba",cesta_capitais[ano],2024)</f>
        <v>0.51525967894239855</v>
      </c>
      <c r="I5" s="25"/>
    </row>
    <row r="6" spans="2:9" x14ac:dyDescent="0.25">
      <c r="B6" s="17" t="s">
        <v>39</v>
      </c>
      <c r="C6" s="18"/>
      <c r="E6" s="17" t="s">
        <v>41</v>
      </c>
      <c r="F6" s="18"/>
      <c r="H6" s="23" t="s">
        <v>39</v>
      </c>
      <c r="I6" s="18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B0654-54BA-4495-A504-8FAB038379C1}">
  <dimension ref="A1:G2015"/>
  <sheetViews>
    <sheetView topLeftCell="A2" workbookViewId="0">
      <selection activeCell="E11" sqref="E11"/>
    </sheetView>
  </sheetViews>
  <sheetFormatPr defaultRowHeight="15" x14ac:dyDescent="0.25"/>
  <cols>
    <col min="1" max="1" width="14.28515625" bestFit="1" customWidth="1"/>
    <col min="2" max="2" width="10.7109375" bestFit="1" customWidth="1"/>
    <col min="3" max="3" width="10.5703125" style="9" bestFit="1" customWidth="1"/>
    <col min="4" max="4" width="17.140625" bestFit="1" customWidth="1"/>
    <col min="5" max="5" width="19.85546875" bestFit="1" customWidth="1"/>
    <col min="6" max="6" width="18.5703125" style="7" bestFit="1" customWidth="1"/>
    <col min="7" max="7" width="6.5703125" bestFit="1" customWidth="1"/>
  </cols>
  <sheetData>
    <row r="1" spans="1:7" x14ac:dyDescent="0.25">
      <c r="A1" t="s">
        <v>30</v>
      </c>
      <c r="B1" t="s">
        <v>25</v>
      </c>
      <c r="C1" s="9" t="s">
        <v>5</v>
      </c>
      <c r="D1" t="s">
        <v>23</v>
      </c>
      <c r="E1" t="s">
        <v>31</v>
      </c>
      <c r="F1" s="7" t="s">
        <v>32</v>
      </c>
      <c r="G1" t="s">
        <v>33</v>
      </c>
    </row>
    <row r="2" spans="1:7" x14ac:dyDescent="0.25">
      <c r="A2" t="s">
        <v>4</v>
      </c>
      <c r="B2" s="3">
        <v>42005</v>
      </c>
      <c r="C2" s="9">
        <v>264.83999999999997</v>
      </c>
      <c r="D2">
        <v>788</v>
      </c>
      <c r="E2" s="8">
        <v>2.9753813623319743</v>
      </c>
      <c r="F2" s="7">
        <v>0.33609137055837562</v>
      </c>
      <c r="G2">
        <v>2015</v>
      </c>
    </row>
    <row r="3" spans="1:7" x14ac:dyDescent="0.25">
      <c r="A3" t="s">
        <v>4</v>
      </c>
      <c r="B3" s="3">
        <v>42036</v>
      </c>
      <c r="C3" s="9">
        <v>264.67</v>
      </c>
      <c r="D3">
        <v>788</v>
      </c>
      <c r="E3" s="8">
        <v>2.9772924774247174</v>
      </c>
      <c r="F3" s="7">
        <v>0.33587563451776653</v>
      </c>
      <c r="G3">
        <v>2015</v>
      </c>
    </row>
    <row r="4" spans="1:7" x14ac:dyDescent="0.25">
      <c r="A4" t="s">
        <v>4</v>
      </c>
      <c r="B4" s="3">
        <v>42064</v>
      </c>
      <c r="C4" s="9">
        <v>273.20999999999998</v>
      </c>
      <c r="D4">
        <v>788</v>
      </c>
      <c r="E4" s="8">
        <v>2.8842282493320157</v>
      </c>
      <c r="F4" s="7">
        <v>0.34671319796954314</v>
      </c>
      <c r="G4">
        <v>2015</v>
      </c>
    </row>
    <row r="5" spans="1:7" x14ac:dyDescent="0.25">
      <c r="A5" t="s">
        <v>4</v>
      </c>
      <c r="B5" s="3">
        <v>42095</v>
      </c>
      <c r="C5" s="9">
        <v>281.61</v>
      </c>
      <c r="D5">
        <v>788</v>
      </c>
      <c r="E5" s="8">
        <v>2.7981960867866906</v>
      </c>
      <c r="F5" s="7">
        <v>0.35737309644670051</v>
      </c>
      <c r="G5">
        <v>2015</v>
      </c>
    </row>
    <row r="6" spans="1:7" x14ac:dyDescent="0.25">
      <c r="A6" t="s">
        <v>4</v>
      </c>
      <c r="B6" s="3">
        <v>42125</v>
      </c>
      <c r="C6" s="9">
        <v>277.16000000000003</v>
      </c>
      <c r="D6">
        <v>788</v>
      </c>
      <c r="E6" s="8">
        <v>2.8431231057872708</v>
      </c>
      <c r="F6" s="7">
        <v>0.35172588832487311</v>
      </c>
      <c r="G6">
        <v>2015</v>
      </c>
    </row>
    <row r="7" spans="1:7" x14ac:dyDescent="0.25">
      <c r="A7" t="s">
        <v>4</v>
      </c>
      <c r="B7" s="3">
        <v>42156</v>
      </c>
      <c r="C7" s="9">
        <v>275.42</v>
      </c>
      <c r="D7">
        <v>788</v>
      </c>
      <c r="E7" s="8">
        <v>2.8610848885338753</v>
      </c>
      <c r="F7" s="7">
        <v>0.34951776649746197</v>
      </c>
      <c r="G7">
        <v>2015</v>
      </c>
    </row>
    <row r="8" spans="1:7" x14ac:dyDescent="0.25">
      <c r="A8" t="s">
        <v>4</v>
      </c>
      <c r="B8" s="3">
        <v>42186</v>
      </c>
      <c r="C8" s="9">
        <v>285.44</v>
      </c>
      <c r="D8">
        <v>788</v>
      </c>
      <c r="E8" s="8">
        <v>2.7606502242152469</v>
      </c>
      <c r="F8" s="7">
        <v>0.36223350253807107</v>
      </c>
      <c r="G8">
        <v>2015</v>
      </c>
    </row>
    <row r="9" spans="1:7" x14ac:dyDescent="0.25">
      <c r="A9" t="s">
        <v>4</v>
      </c>
      <c r="B9" s="3">
        <v>42217</v>
      </c>
      <c r="C9" s="9">
        <v>283.02</v>
      </c>
      <c r="D9">
        <v>788</v>
      </c>
      <c r="E9" s="8">
        <v>2.7842555296445481</v>
      </c>
      <c r="F9" s="7">
        <v>0.35916243654822333</v>
      </c>
      <c r="G9">
        <v>2015</v>
      </c>
    </row>
    <row r="10" spans="1:7" x14ac:dyDescent="0.25">
      <c r="A10" t="s">
        <v>4</v>
      </c>
      <c r="B10" s="3">
        <v>42248</v>
      </c>
      <c r="C10" s="9">
        <v>280.26</v>
      </c>
      <c r="D10">
        <v>788</v>
      </c>
      <c r="E10" s="8">
        <v>2.8116748733319064</v>
      </c>
      <c r="F10" s="7">
        <v>0.35565989847715734</v>
      </c>
      <c r="G10">
        <v>2015</v>
      </c>
    </row>
    <row r="11" spans="1:7" x14ac:dyDescent="0.25">
      <c r="A11" t="s">
        <v>4</v>
      </c>
      <c r="B11" s="3">
        <v>42278</v>
      </c>
      <c r="C11" s="9">
        <v>282.87</v>
      </c>
      <c r="D11">
        <v>788</v>
      </c>
      <c r="E11" s="8">
        <v>2.7857319616785094</v>
      </c>
      <c r="F11" s="7">
        <v>0.35897208121827412</v>
      </c>
      <c r="G11">
        <v>2015</v>
      </c>
    </row>
    <row r="12" spans="1:7" x14ac:dyDescent="0.25">
      <c r="A12" t="s">
        <v>4</v>
      </c>
      <c r="B12" s="3">
        <v>42309</v>
      </c>
      <c r="C12" s="9">
        <v>291.8</v>
      </c>
      <c r="D12">
        <v>788</v>
      </c>
      <c r="E12" s="8">
        <v>2.7004797806716927</v>
      </c>
      <c r="F12" s="7">
        <v>0.37030456852791882</v>
      </c>
      <c r="G12">
        <v>2015</v>
      </c>
    </row>
    <row r="13" spans="1:7" x14ac:dyDescent="0.25">
      <c r="A13" t="s">
        <v>4</v>
      </c>
      <c r="B13" s="3">
        <v>42339</v>
      </c>
      <c r="C13" s="9">
        <v>296.82</v>
      </c>
      <c r="D13">
        <v>788</v>
      </c>
      <c r="E13" s="8">
        <v>2.6548076275183612</v>
      </c>
      <c r="F13" s="7">
        <v>0.37667512690355331</v>
      </c>
      <c r="G13">
        <v>2015</v>
      </c>
    </row>
    <row r="14" spans="1:7" x14ac:dyDescent="0.25">
      <c r="A14" t="s">
        <v>4</v>
      </c>
      <c r="B14" s="3">
        <v>42370</v>
      </c>
      <c r="C14" s="9">
        <v>350.73</v>
      </c>
      <c r="D14">
        <v>880</v>
      </c>
      <c r="E14" s="8">
        <v>2.5090525475436944</v>
      </c>
      <c r="F14" s="7">
        <v>0.39855681818181821</v>
      </c>
      <c r="G14">
        <v>2016</v>
      </c>
    </row>
    <row r="15" spans="1:7" x14ac:dyDescent="0.25">
      <c r="A15" t="s">
        <v>4</v>
      </c>
      <c r="B15" s="3">
        <v>42401</v>
      </c>
      <c r="C15" s="9">
        <v>362.09</v>
      </c>
      <c r="D15">
        <v>880</v>
      </c>
      <c r="E15" s="8">
        <v>2.4303349995857384</v>
      </c>
      <c r="F15" s="7">
        <v>0.41146590909090908</v>
      </c>
      <c r="G15">
        <v>2016</v>
      </c>
    </row>
    <row r="16" spans="1:7" x14ac:dyDescent="0.25">
      <c r="A16" t="s">
        <v>4</v>
      </c>
      <c r="B16" s="3">
        <v>42430</v>
      </c>
      <c r="C16" s="9">
        <v>349.32</v>
      </c>
      <c r="D16">
        <v>880</v>
      </c>
      <c r="E16" s="8">
        <v>2.5191801213786786</v>
      </c>
      <c r="F16" s="7">
        <v>0.39695454545454545</v>
      </c>
      <c r="G16">
        <v>2016</v>
      </c>
    </row>
    <row r="17" spans="1:7" x14ac:dyDescent="0.25">
      <c r="A17" t="s">
        <v>4</v>
      </c>
      <c r="B17" s="3">
        <v>42461</v>
      </c>
      <c r="C17" s="9">
        <v>348.24</v>
      </c>
      <c r="D17">
        <v>880</v>
      </c>
      <c r="E17" s="8">
        <v>2.5269928784746152</v>
      </c>
      <c r="F17" s="7">
        <v>0.39572727272727276</v>
      </c>
      <c r="G17">
        <v>2016</v>
      </c>
    </row>
    <row r="18" spans="1:7" x14ac:dyDescent="0.25">
      <c r="A18" t="s">
        <v>4</v>
      </c>
      <c r="B18" s="3">
        <v>42491</v>
      </c>
      <c r="C18" s="9">
        <v>334.83</v>
      </c>
      <c r="D18">
        <v>880</v>
      </c>
      <c r="E18" s="8">
        <v>2.628199384762417</v>
      </c>
      <c r="F18" s="7">
        <v>0.38048863636363633</v>
      </c>
      <c r="G18">
        <v>2016</v>
      </c>
    </row>
    <row r="19" spans="1:7" x14ac:dyDescent="0.25">
      <c r="A19" t="s">
        <v>4</v>
      </c>
      <c r="B19" s="3">
        <v>42522</v>
      </c>
      <c r="C19" s="9">
        <v>376.73</v>
      </c>
      <c r="D19">
        <v>880</v>
      </c>
      <c r="E19" s="8">
        <v>2.3358904255036763</v>
      </c>
      <c r="F19" s="7">
        <v>0.42810227272727275</v>
      </c>
      <c r="G19">
        <v>2016</v>
      </c>
    </row>
    <row r="20" spans="1:7" x14ac:dyDescent="0.25">
      <c r="A20" t="s">
        <v>4</v>
      </c>
      <c r="B20" s="3">
        <v>42552</v>
      </c>
      <c r="C20" s="9">
        <v>379.29</v>
      </c>
      <c r="D20">
        <v>880</v>
      </c>
      <c r="E20" s="8">
        <v>2.3201244430383081</v>
      </c>
      <c r="F20" s="7">
        <v>0.43101136363636366</v>
      </c>
      <c r="G20">
        <v>2016</v>
      </c>
    </row>
    <row r="21" spans="1:7" x14ac:dyDescent="0.25">
      <c r="A21" t="s">
        <v>4</v>
      </c>
      <c r="B21" s="3">
        <v>42583</v>
      </c>
      <c r="C21" s="9">
        <v>370.7</v>
      </c>
      <c r="D21">
        <v>880</v>
      </c>
      <c r="E21" s="8">
        <v>2.3738872403560833</v>
      </c>
      <c r="F21" s="7">
        <v>0.42125000000000001</v>
      </c>
      <c r="G21">
        <v>2016</v>
      </c>
    </row>
    <row r="22" spans="1:7" x14ac:dyDescent="0.25">
      <c r="A22" t="s">
        <v>4</v>
      </c>
      <c r="B22" s="3">
        <v>42614</v>
      </c>
      <c r="C22" s="9">
        <v>371.3</v>
      </c>
      <c r="D22">
        <v>880</v>
      </c>
      <c r="E22" s="8">
        <v>2.3700511715593859</v>
      </c>
      <c r="F22" s="7">
        <v>0.42193181818181819</v>
      </c>
      <c r="G22">
        <v>2016</v>
      </c>
    </row>
    <row r="23" spans="1:7" x14ac:dyDescent="0.25">
      <c r="A23" t="s">
        <v>4</v>
      </c>
      <c r="B23" s="3">
        <v>42644</v>
      </c>
      <c r="C23" s="9">
        <v>378.17</v>
      </c>
      <c r="D23">
        <v>880</v>
      </c>
      <c r="E23" s="8">
        <v>2.3269957955416873</v>
      </c>
      <c r="F23" s="7">
        <v>0.42973863636363641</v>
      </c>
      <c r="G23">
        <v>2016</v>
      </c>
    </row>
    <row r="24" spans="1:7" x14ac:dyDescent="0.25">
      <c r="A24" t="s">
        <v>4</v>
      </c>
      <c r="B24" s="3">
        <v>42675</v>
      </c>
      <c r="C24" s="9">
        <v>368.52</v>
      </c>
      <c r="D24">
        <v>880</v>
      </c>
      <c r="E24" s="8">
        <v>2.3879300987734724</v>
      </c>
      <c r="F24" s="7">
        <v>0.41877272727272724</v>
      </c>
      <c r="G24">
        <v>2016</v>
      </c>
    </row>
    <row r="25" spans="1:7" x14ac:dyDescent="0.25">
      <c r="A25" t="s">
        <v>4</v>
      </c>
      <c r="B25" s="3">
        <v>42705</v>
      </c>
      <c r="C25" s="9">
        <v>349.68</v>
      </c>
      <c r="D25">
        <v>880</v>
      </c>
      <c r="E25" s="8">
        <v>2.516586593456875</v>
      </c>
      <c r="F25" s="7">
        <v>0.39736363636363636</v>
      </c>
      <c r="G25">
        <v>2016</v>
      </c>
    </row>
    <row r="26" spans="1:7" x14ac:dyDescent="0.25">
      <c r="A26" t="s">
        <v>4</v>
      </c>
      <c r="B26" s="3">
        <v>42736</v>
      </c>
      <c r="C26" s="9">
        <v>357.52</v>
      </c>
      <c r="D26">
        <v>937</v>
      </c>
      <c r="E26" s="8">
        <v>2.6208324009845603</v>
      </c>
      <c r="F26" s="7">
        <v>0.38155816435432227</v>
      </c>
      <c r="G26">
        <v>2017</v>
      </c>
    </row>
    <row r="27" spans="1:7" x14ac:dyDescent="0.25">
      <c r="A27" t="s">
        <v>4</v>
      </c>
      <c r="B27" s="3">
        <v>42767</v>
      </c>
      <c r="C27" s="9">
        <v>344.72</v>
      </c>
      <c r="D27">
        <v>937</v>
      </c>
      <c r="E27" s="8">
        <v>2.7181480621954046</v>
      </c>
      <c r="F27" s="7">
        <v>0.36789754535752406</v>
      </c>
      <c r="G27">
        <v>2017</v>
      </c>
    </row>
    <row r="28" spans="1:7" x14ac:dyDescent="0.25">
      <c r="A28" t="s">
        <v>4</v>
      </c>
      <c r="B28" s="3">
        <v>42795</v>
      </c>
      <c r="C28" s="9">
        <v>351.81</v>
      </c>
      <c r="D28">
        <v>937</v>
      </c>
      <c r="E28" s="8">
        <v>2.66336943236406</v>
      </c>
      <c r="F28" s="7">
        <v>0.37546424759871933</v>
      </c>
      <c r="G28">
        <v>2017</v>
      </c>
    </row>
    <row r="29" spans="1:7" x14ac:dyDescent="0.25">
      <c r="A29" t="s">
        <v>4</v>
      </c>
      <c r="B29" s="3">
        <v>42826</v>
      </c>
      <c r="C29" s="9">
        <v>363.87</v>
      </c>
      <c r="D29">
        <v>937</v>
      </c>
      <c r="E29" s="8">
        <v>2.5750955011405172</v>
      </c>
      <c r="F29" s="7">
        <v>0.38833511205976523</v>
      </c>
      <c r="G29">
        <v>2017</v>
      </c>
    </row>
    <row r="30" spans="1:7" x14ac:dyDescent="0.25">
      <c r="A30" t="s">
        <v>4</v>
      </c>
      <c r="B30" s="3">
        <v>42856</v>
      </c>
      <c r="C30" s="9">
        <v>371</v>
      </c>
      <c r="D30">
        <v>937</v>
      </c>
      <c r="E30" s="8">
        <v>2.5256064690026956</v>
      </c>
      <c r="F30" s="7">
        <v>0.39594450373532553</v>
      </c>
      <c r="G30">
        <v>2017</v>
      </c>
    </row>
    <row r="31" spans="1:7" x14ac:dyDescent="0.25">
      <c r="A31" t="s">
        <v>4</v>
      </c>
      <c r="B31" s="3">
        <v>42887</v>
      </c>
      <c r="C31" s="9">
        <v>365.55</v>
      </c>
      <c r="D31">
        <v>937</v>
      </c>
      <c r="E31" s="8">
        <v>2.5632608398303924</v>
      </c>
      <c r="F31" s="7">
        <v>0.39012806830309499</v>
      </c>
      <c r="G31">
        <v>2017</v>
      </c>
    </row>
    <row r="32" spans="1:7" x14ac:dyDescent="0.25">
      <c r="A32" t="s">
        <v>4</v>
      </c>
      <c r="B32" s="3">
        <v>42917</v>
      </c>
      <c r="C32" s="9">
        <v>364.27</v>
      </c>
      <c r="D32">
        <v>937</v>
      </c>
      <c r="E32" s="8">
        <v>2.5722678233178686</v>
      </c>
      <c r="F32" s="7">
        <v>0.38876200640341513</v>
      </c>
      <c r="G32">
        <v>2017</v>
      </c>
    </row>
    <row r="33" spans="1:7" x14ac:dyDescent="0.25">
      <c r="A33" t="s">
        <v>4</v>
      </c>
      <c r="B33" s="3">
        <v>42948</v>
      </c>
      <c r="C33" s="9">
        <v>353.85</v>
      </c>
      <c r="D33">
        <v>937</v>
      </c>
      <c r="E33" s="8">
        <v>2.64801469549244</v>
      </c>
      <c r="F33" s="7">
        <v>0.37764140875133406</v>
      </c>
      <c r="G33">
        <v>2017</v>
      </c>
    </row>
    <row r="34" spans="1:7" x14ac:dyDescent="0.25">
      <c r="A34" t="s">
        <v>4</v>
      </c>
      <c r="B34" s="3">
        <v>42979</v>
      </c>
      <c r="C34" s="9">
        <v>344.16</v>
      </c>
      <c r="D34">
        <v>937</v>
      </c>
      <c r="E34" s="8">
        <v>2.7225708972570897</v>
      </c>
      <c r="F34" s="7">
        <v>0.3672998932764141</v>
      </c>
      <c r="G34">
        <v>2017</v>
      </c>
    </row>
    <row r="35" spans="1:7" x14ac:dyDescent="0.25">
      <c r="A35" t="s">
        <v>4</v>
      </c>
      <c r="B35" s="3">
        <v>43009</v>
      </c>
      <c r="C35" s="9">
        <v>340.47</v>
      </c>
      <c r="D35">
        <v>937</v>
      </c>
      <c r="E35" s="8">
        <v>2.7520780098099684</v>
      </c>
      <c r="F35" s="7">
        <v>0.36336179295624338</v>
      </c>
      <c r="G35">
        <v>2017</v>
      </c>
    </row>
    <row r="36" spans="1:7" x14ac:dyDescent="0.25">
      <c r="A36" t="s">
        <v>4</v>
      </c>
      <c r="B36" s="3">
        <v>43040</v>
      </c>
      <c r="C36" s="9">
        <v>341.09</v>
      </c>
      <c r="D36">
        <v>937</v>
      </c>
      <c r="E36" s="8">
        <v>2.7470755519071215</v>
      </c>
      <c r="F36" s="7">
        <v>0.36402347918890071</v>
      </c>
      <c r="G36">
        <v>2017</v>
      </c>
    </row>
    <row r="37" spans="1:7" x14ac:dyDescent="0.25">
      <c r="A37" t="s">
        <v>4</v>
      </c>
      <c r="B37" s="3">
        <v>43070</v>
      </c>
      <c r="C37" s="9">
        <v>340.02</v>
      </c>
      <c r="D37">
        <v>937</v>
      </c>
      <c r="E37" s="8">
        <v>2.7557202517498971</v>
      </c>
      <c r="F37" s="7">
        <v>0.36288153681963714</v>
      </c>
      <c r="G37">
        <v>2017</v>
      </c>
    </row>
    <row r="38" spans="1:7" x14ac:dyDescent="0.25">
      <c r="A38" t="s">
        <v>4</v>
      </c>
      <c r="B38" s="3">
        <v>43101</v>
      </c>
      <c r="C38" s="9">
        <v>349.97</v>
      </c>
      <c r="D38">
        <v>954</v>
      </c>
      <c r="E38" s="8">
        <v>2.7259479383947194</v>
      </c>
      <c r="F38" s="7">
        <v>0.3668448637316562</v>
      </c>
      <c r="G38">
        <v>2018</v>
      </c>
    </row>
    <row r="39" spans="1:7" x14ac:dyDescent="0.25">
      <c r="A39" t="s">
        <v>4</v>
      </c>
      <c r="B39" s="3">
        <v>43132</v>
      </c>
      <c r="C39" s="9">
        <v>341.59</v>
      </c>
      <c r="D39">
        <v>954</v>
      </c>
      <c r="E39" s="8">
        <v>2.7928218039169765</v>
      </c>
      <c r="F39" s="7">
        <v>0.35806079664570228</v>
      </c>
      <c r="G39">
        <v>2018</v>
      </c>
    </row>
    <row r="40" spans="1:7" x14ac:dyDescent="0.25">
      <c r="A40" t="s">
        <v>4</v>
      </c>
      <c r="B40" s="3">
        <v>43160</v>
      </c>
      <c r="C40" s="9">
        <v>339.77</v>
      </c>
      <c r="D40">
        <v>954</v>
      </c>
      <c r="E40" s="8">
        <v>2.8077817347028873</v>
      </c>
      <c r="F40" s="7">
        <v>0.35615303983228508</v>
      </c>
      <c r="G40">
        <v>2018</v>
      </c>
    </row>
    <row r="41" spans="1:7" x14ac:dyDescent="0.25">
      <c r="A41" t="s">
        <v>4</v>
      </c>
      <c r="B41" s="3">
        <v>43191</v>
      </c>
      <c r="C41" s="9">
        <v>342.39</v>
      </c>
      <c r="D41">
        <v>954</v>
      </c>
      <c r="E41" s="8">
        <v>2.7862963287479192</v>
      </c>
      <c r="F41" s="7">
        <v>0.35889937106918235</v>
      </c>
      <c r="G41">
        <v>2018</v>
      </c>
    </row>
    <row r="42" spans="1:7" x14ac:dyDescent="0.25">
      <c r="A42" t="s">
        <v>4</v>
      </c>
      <c r="B42" s="3">
        <v>43221</v>
      </c>
      <c r="C42" s="9">
        <v>349.29</v>
      </c>
      <c r="D42">
        <v>954</v>
      </c>
      <c r="E42" s="8">
        <v>2.7312548312290645</v>
      </c>
      <c r="F42" s="7">
        <v>0.36613207547169813</v>
      </c>
      <c r="G42">
        <v>2018</v>
      </c>
    </row>
    <row r="43" spans="1:7" x14ac:dyDescent="0.25">
      <c r="A43" t="s">
        <v>4</v>
      </c>
      <c r="B43" s="3">
        <v>43252</v>
      </c>
      <c r="C43" s="9">
        <v>349.55</v>
      </c>
      <c r="D43">
        <v>954</v>
      </c>
      <c r="E43" s="8">
        <v>2.7292232870833928</v>
      </c>
      <c r="F43" s="7">
        <v>0.36640461215932918</v>
      </c>
      <c r="G43">
        <v>2018</v>
      </c>
    </row>
    <row r="44" spans="1:7" x14ac:dyDescent="0.25">
      <c r="A44" t="s">
        <v>4</v>
      </c>
      <c r="B44" s="3">
        <v>43282</v>
      </c>
      <c r="C44" s="9">
        <v>344.89</v>
      </c>
      <c r="D44">
        <v>954</v>
      </c>
      <c r="E44" s="8">
        <v>2.7660993360201807</v>
      </c>
      <c r="F44" s="7">
        <v>0.36151991614255763</v>
      </c>
      <c r="G44">
        <v>2018</v>
      </c>
    </row>
    <row r="45" spans="1:7" x14ac:dyDescent="0.25">
      <c r="A45" t="s">
        <v>4</v>
      </c>
      <c r="B45" s="3">
        <v>43313</v>
      </c>
      <c r="C45" s="9">
        <v>344.92</v>
      </c>
      <c r="D45">
        <v>954</v>
      </c>
      <c r="E45" s="8">
        <v>2.7658587498550387</v>
      </c>
      <c r="F45" s="7">
        <v>0.36155136268343818</v>
      </c>
      <c r="G45">
        <v>2018</v>
      </c>
    </row>
    <row r="46" spans="1:7" x14ac:dyDescent="0.25">
      <c r="A46" t="s">
        <v>4</v>
      </c>
      <c r="B46" s="3">
        <v>43344</v>
      </c>
      <c r="C46" s="9">
        <v>342.34</v>
      </c>
      <c r="D46">
        <v>954</v>
      </c>
      <c r="E46" s="8">
        <v>2.7867032774434772</v>
      </c>
      <c r="F46" s="7">
        <v>0.35884696016771483</v>
      </c>
      <c r="G46">
        <v>2018</v>
      </c>
    </row>
    <row r="47" spans="1:7" x14ac:dyDescent="0.25">
      <c r="A47" t="s">
        <v>4</v>
      </c>
      <c r="B47" s="3">
        <v>43374</v>
      </c>
      <c r="C47" s="9">
        <v>342.5</v>
      </c>
      <c r="D47">
        <v>954</v>
      </c>
      <c r="E47" s="8">
        <v>2.7854014598540147</v>
      </c>
      <c r="F47" s="7">
        <v>0.35901467505241091</v>
      </c>
      <c r="G47">
        <v>2018</v>
      </c>
    </row>
    <row r="48" spans="1:7" x14ac:dyDescent="0.25">
      <c r="A48" t="s">
        <v>4</v>
      </c>
      <c r="B48" s="3">
        <v>43405</v>
      </c>
      <c r="C48" s="9">
        <v>349.76</v>
      </c>
      <c r="D48">
        <v>954</v>
      </c>
      <c r="E48" s="8">
        <v>2.7275846294602015</v>
      </c>
      <c r="F48" s="7">
        <v>0.36662473794549266</v>
      </c>
      <c r="G48">
        <v>2018</v>
      </c>
    </row>
    <row r="49" spans="1:7" x14ac:dyDescent="0.25">
      <c r="A49" t="s">
        <v>4</v>
      </c>
      <c r="B49" s="3">
        <v>43435</v>
      </c>
      <c r="C49" s="9">
        <v>358.75</v>
      </c>
      <c r="D49">
        <v>954</v>
      </c>
      <c r="E49" s="8">
        <v>2.6592334494773517</v>
      </c>
      <c r="F49" s="7">
        <v>0.37604821802935012</v>
      </c>
      <c r="G49">
        <v>2018</v>
      </c>
    </row>
    <row r="50" spans="1:7" x14ac:dyDescent="0.25">
      <c r="A50" t="s">
        <v>4</v>
      </c>
      <c r="B50" s="3">
        <v>43466</v>
      </c>
      <c r="C50" s="9">
        <v>356.56</v>
      </c>
      <c r="D50">
        <v>998</v>
      </c>
      <c r="E50" s="8">
        <v>2.7989679156383218</v>
      </c>
      <c r="F50" s="7">
        <v>0.35727454909819639</v>
      </c>
      <c r="G50">
        <v>2019</v>
      </c>
    </row>
    <row r="51" spans="1:7" x14ac:dyDescent="0.25">
      <c r="A51" t="s">
        <v>4</v>
      </c>
      <c r="B51" s="3">
        <v>43497</v>
      </c>
      <c r="C51" s="9">
        <v>379.61</v>
      </c>
      <c r="D51">
        <v>998</v>
      </c>
      <c r="E51" s="8">
        <v>2.6290139880403571</v>
      </c>
      <c r="F51" s="7">
        <v>0.38037074148296596</v>
      </c>
      <c r="G51">
        <v>2019</v>
      </c>
    </row>
    <row r="52" spans="1:7" x14ac:dyDescent="0.25">
      <c r="A52" t="s">
        <v>4</v>
      </c>
      <c r="B52" s="3">
        <v>43525</v>
      </c>
      <c r="C52" s="9">
        <v>385.62</v>
      </c>
      <c r="D52">
        <v>998</v>
      </c>
      <c r="E52" s="8">
        <v>2.5880400394170429</v>
      </c>
      <c r="F52" s="7">
        <v>0.38639278557114232</v>
      </c>
      <c r="G52">
        <v>2019</v>
      </c>
    </row>
    <row r="53" spans="1:7" x14ac:dyDescent="0.25">
      <c r="A53" t="s">
        <v>4</v>
      </c>
      <c r="B53" s="3">
        <v>43556</v>
      </c>
      <c r="C53" s="9">
        <v>404.68</v>
      </c>
      <c r="D53">
        <v>998</v>
      </c>
      <c r="E53" s="8">
        <v>2.466146090738361</v>
      </c>
      <c r="F53" s="7">
        <v>0.40549098196392785</v>
      </c>
      <c r="G53">
        <v>2019</v>
      </c>
    </row>
    <row r="54" spans="1:7" x14ac:dyDescent="0.25">
      <c r="A54" t="s">
        <v>4</v>
      </c>
      <c r="B54" s="3">
        <v>43586</v>
      </c>
      <c r="C54" s="9">
        <v>408.16</v>
      </c>
      <c r="D54">
        <v>998</v>
      </c>
      <c r="E54" s="8">
        <v>2.4451195609564875</v>
      </c>
      <c r="F54" s="7">
        <v>0.40897795591182368</v>
      </c>
      <c r="G54">
        <v>2019</v>
      </c>
    </row>
    <row r="55" spans="1:7" x14ac:dyDescent="0.25">
      <c r="A55" t="s">
        <v>4</v>
      </c>
      <c r="B55" s="3">
        <v>43617</v>
      </c>
      <c r="C55" s="9">
        <v>383.09</v>
      </c>
      <c r="D55">
        <v>998</v>
      </c>
      <c r="E55" s="8">
        <v>2.6051319533268948</v>
      </c>
      <c r="F55" s="7">
        <v>0.38385771543086172</v>
      </c>
      <c r="G55">
        <v>2019</v>
      </c>
    </row>
    <row r="56" spans="1:7" x14ac:dyDescent="0.25">
      <c r="A56" t="s">
        <v>4</v>
      </c>
      <c r="B56" s="3">
        <v>43647</v>
      </c>
      <c r="C56" s="9">
        <v>359.95</v>
      </c>
      <c r="D56">
        <v>998</v>
      </c>
      <c r="E56" s="8">
        <v>2.7726073065703569</v>
      </c>
      <c r="F56" s="7">
        <v>0.36067134268537071</v>
      </c>
      <c r="G56">
        <v>2019</v>
      </c>
    </row>
    <row r="57" spans="1:7" x14ac:dyDescent="0.25">
      <c r="A57" t="s">
        <v>4</v>
      </c>
      <c r="B57" s="3">
        <v>43678</v>
      </c>
      <c r="C57" s="9">
        <v>337.96</v>
      </c>
      <c r="D57">
        <v>998</v>
      </c>
      <c r="E57" s="8">
        <v>2.9530121907918097</v>
      </c>
      <c r="F57" s="7">
        <v>0.3386372745490982</v>
      </c>
      <c r="G57">
        <v>2019</v>
      </c>
    </row>
    <row r="58" spans="1:7" x14ac:dyDescent="0.25">
      <c r="A58" t="s">
        <v>4</v>
      </c>
      <c r="B58" s="3">
        <v>43709</v>
      </c>
      <c r="C58" s="9">
        <v>328.7</v>
      </c>
      <c r="D58">
        <v>998</v>
      </c>
      <c r="E58" s="8">
        <v>3.0362032248250688</v>
      </c>
      <c r="F58" s="7">
        <v>0.32935871743486972</v>
      </c>
      <c r="G58">
        <v>2019</v>
      </c>
    </row>
    <row r="59" spans="1:7" x14ac:dyDescent="0.25">
      <c r="A59" t="s">
        <v>4</v>
      </c>
      <c r="B59" s="3">
        <v>43739</v>
      </c>
      <c r="C59" s="9">
        <v>325.01</v>
      </c>
      <c r="D59">
        <v>998</v>
      </c>
      <c r="E59" s="8">
        <v>3.070674748469278</v>
      </c>
      <c r="F59" s="7">
        <v>0.32566132264529057</v>
      </c>
      <c r="G59">
        <v>2019</v>
      </c>
    </row>
    <row r="60" spans="1:7" x14ac:dyDescent="0.25">
      <c r="A60" t="s">
        <v>4</v>
      </c>
      <c r="B60" s="3">
        <v>43770</v>
      </c>
      <c r="C60" s="9">
        <v>325.39999999999998</v>
      </c>
      <c r="D60">
        <v>998</v>
      </c>
      <c r="E60" s="8">
        <v>3.0669944683466506</v>
      </c>
      <c r="F60" s="7">
        <v>0.32605210420841679</v>
      </c>
      <c r="G60">
        <v>2019</v>
      </c>
    </row>
    <row r="61" spans="1:7" x14ac:dyDescent="0.25">
      <c r="A61" t="s">
        <v>4</v>
      </c>
      <c r="B61" s="3">
        <v>43800</v>
      </c>
      <c r="C61" s="9">
        <v>351.97</v>
      </c>
      <c r="D61">
        <v>998</v>
      </c>
      <c r="E61" s="8">
        <v>2.8354689320112509</v>
      </c>
      <c r="F61" s="7">
        <v>0.35267535070140282</v>
      </c>
      <c r="G61">
        <v>2019</v>
      </c>
    </row>
    <row r="62" spans="1:7" x14ac:dyDescent="0.25">
      <c r="A62" t="s">
        <v>4</v>
      </c>
      <c r="B62" s="3">
        <v>43831</v>
      </c>
      <c r="C62" s="9">
        <v>368.69</v>
      </c>
      <c r="D62">
        <v>1039</v>
      </c>
      <c r="E62" s="8">
        <v>2.8180856546149884</v>
      </c>
      <c r="F62" s="7">
        <v>0.35485081809432145</v>
      </c>
      <c r="G62">
        <v>2020</v>
      </c>
    </row>
    <row r="63" spans="1:7" x14ac:dyDescent="0.25">
      <c r="A63" t="s">
        <v>4</v>
      </c>
      <c r="B63" s="3">
        <v>43862</v>
      </c>
      <c r="C63" s="9">
        <v>371.22</v>
      </c>
      <c r="D63">
        <v>1045</v>
      </c>
      <c r="E63" s="8">
        <v>2.8150422929799039</v>
      </c>
      <c r="F63" s="7">
        <v>0.35523444976076557</v>
      </c>
      <c r="G63">
        <v>2020</v>
      </c>
    </row>
    <row r="64" spans="1:7" x14ac:dyDescent="0.25">
      <c r="A64" t="s">
        <v>4</v>
      </c>
      <c r="B64" s="3">
        <v>43891</v>
      </c>
      <c r="C64" s="9">
        <v>390.2</v>
      </c>
      <c r="D64">
        <v>1045</v>
      </c>
      <c r="E64" s="8">
        <v>2.6781137878011276</v>
      </c>
      <c r="F64" s="7">
        <v>0.37339712918660284</v>
      </c>
      <c r="G64">
        <v>2020</v>
      </c>
    </row>
    <row r="65" spans="1:7" x14ac:dyDescent="0.25">
      <c r="A65" t="s">
        <v>4</v>
      </c>
      <c r="B65" s="3">
        <v>43922</v>
      </c>
      <c r="C65" s="9">
        <v>401.37</v>
      </c>
      <c r="D65">
        <v>1045</v>
      </c>
      <c r="E65" s="8">
        <v>2.6035827291526523</v>
      </c>
      <c r="F65" s="7">
        <v>0.38408612440191386</v>
      </c>
      <c r="G65">
        <v>2020</v>
      </c>
    </row>
    <row r="66" spans="1:7" x14ac:dyDescent="0.25">
      <c r="A66" t="s">
        <v>4</v>
      </c>
      <c r="B66" s="3">
        <v>43952</v>
      </c>
      <c r="C66" s="9">
        <v>400.15</v>
      </c>
      <c r="D66">
        <v>1045</v>
      </c>
      <c r="E66" s="8">
        <v>2.6115206797450958</v>
      </c>
      <c r="F66" s="7">
        <v>0.38291866028708132</v>
      </c>
      <c r="G66">
        <v>2020</v>
      </c>
    </row>
    <row r="67" spans="1:7" x14ac:dyDescent="0.25">
      <c r="A67" t="s">
        <v>4</v>
      </c>
      <c r="B67" s="3">
        <v>43983</v>
      </c>
      <c r="C67" s="9">
        <v>420.03</v>
      </c>
      <c r="D67">
        <v>1045</v>
      </c>
      <c r="E67" s="8">
        <v>2.4879175297002596</v>
      </c>
      <c r="F67" s="7">
        <v>0.40194258373205738</v>
      </c>
      <c r="G67">
        <v>2020</v>
      </c>
    </row>
    <row r="68" spans="1:7" x14ac:dyDescent="0.25">
      <c r="A68" t="s">
        <v>4</v>
      </c>
      <c r="B68" s="3">
        <v>44013</v>
      </c>
      <c r="C68" s="9">
        <v>392.75</v>
      </c>
      <c r="D68">
        <v>1045</v>
      </c>
      <c r="E68" s="8">
        <v>2.6607256524506684</v>
      </c>
      <c r="F68" s="7">
        <v>0.37583732057416269</v>
      </c>
      <c r="G68">
        <v>2020</v>
      </c>
    </row>
    <row r="69" spans="1:7" x14ac:dyDescent="0.25">
      <c r="A69" t="s">
        <v>4</v>
      </c>
      <c r="B69" s="3">
        <v>44044</v>
      </c>
      <c r="C69" s="9">
        <v>398.47</v>
      </c>
      <c r="D69">
        <v>1045</v>
      </c>
      <c r="E69" s="8">
        <v>2.6225311817702712</v>
      </c>
      <c r="F69" s="7">
        <v>0.38131100478468904</v>
      </c>
      <c r="G69">
        <v>2020</v>
      </c>
    </row>
    <row r="70" spans="1:7" x14ac:dyDescent="0.25">
      <c r="A70" t="s">
        <v>4</v>
      </c>
      <c r="B70" s="3">
        <v>44075</v>
      </c>
      <c r="C70" s="9">
        <v>427.11</v>
      </c>
      <c r="D70">
        <v>1045</v>
      </c>
      <c r="E70" s="8">
        <v>2.4466765001990121</v>
      </c>
      <c r="F70" s="7">
        <v>0.40871770334928231</v>
      </c>
      <c r="G70">
        <v>2020</v>
      </c>
    </row>
    <row r="71" spans="1:7" x14ac:dyDescent="0.25">
      <c r="A71" t="s">
        <v>4</v>
      </c>
      <c r="B71" s="3">
        <v>44105</v>
      </c>
      <c r="C71" s="9">
        <v>442.26</v>
      </c>
      <c r="D71">
        <v>1045</v>
      </c>
      <c r="E71" s="8">
        <v>2.3628634739745853</v>
      </c>
      <c r="F71" s="7">
        <v>0.42321531100478466</v>
      </c>
      <c r="G71">
        <v>2020</v>
      </c>
    </row>
    <row r="72" spans="1:7" x14ac:dyDescent="0.25">
      <c r="A72" t="s">
        <v>4</v>
      </c>
      <c r="B72" s="3">
        <v>44136</v>
      </c>
      <c r="C72" s="9">
        <v>451.32</v>
      </c>
      <c r="D72">
        <v>1045</v>
      </c>
      <c r="E72" s="8">
        <v>2.3154302933616946</v>
      </c>
      <c r="F72" s="7">
        <v>0.43188516746411482</v>
      </c>
      <c r="G72">
        <v>2020</v>
      </c>
    </row>
    <row r="73" spans="1:7" x14ac:dyDescent="0.25">
      <c r="A73" t="s">
        <v>4</v>
      </c>
      <c r="B73" s="3">
        <v>44166</v>
      </c>
      <c r="C73" s="9">
        <v>453.16</v>
      </c>
      <c r="D73">
        <v>1045</v>
      </c>
      <c r="E73" s="8">
        <v>2.3060287757083588</v>
      </c>
      <c r="F73" s="7">
        <v>0.43364593301435411</v>
      </c>
      <c r="G73">
        <v>2020</v>
      </c>
    </row>
    <row r="74" spans="1:7" x14ac:dyDescent="0.25">
      <c r="A74" t="s">
        <v>4</v>
      </c>
      <c r="B74" s="3">
        <v>44197</v>
      </c>
      <c r="C74" s="9">
        <v>450.84</v>
      </c>
      <c r="D74">
        <v>1100</v>
      </c>
      <c r="E74" s="8">
        <v>2.4398899831425784</v>
      </c>
      <c r="F74" s="7">
        <v>0.40985454545454542</v>
      </c>
      <c r="G74">
        <v>2021</v>
      </c>
    </row>
    <row r="75" spans="1:7" x14ac:dyDescent="0.25">
      <c r="A75" t="s">
        <v>4</v>
      </c>
      <c r="B75" s="3">
        <v>44228</v>
      </c>
      <c r="C75" s="9">
        <v>445.9</v>
      </c>
      <c r="D75">
        <v>1100</v>
      </c>
      <c r="E75" s="8">
        <v>2.4669208342677731</v>
      </c>
      <c r="F75" s="7">
        <v>0.40536363636363637</v>
      </c>
      <c r="G75">
        <v>2021</v>
      </c>
    </row>
    <row r="76" spans="1:7" x14ac:dyDescent="0.25">
      <c r="A76" t="s">
        <v>4</v>
      </c>
      <c r="B76" s="3">
        <v>44256</v>
      </c>
      <c r="C76" s="9">
        <v>468.79</v>
      </c>
      <c r="D76">
        <v>1100</v>
      </c>
      <c r="E76" s="8">
        <v>2.346466434864225</v>
      </c>
      <c r="F76" s="7">
        <v>0.42617272727272731</v>
      </c>
      <c r="G76">
        <v>2021</v>
      </c>
    </row>
    <row r="77" spans="1:7" x14ac:dyDescent="0.25">
      <c r="A77" t="s">
        <v>4</v>
      </c>
      <c r="B77" s="3">
        <v>44287</v>
      </c>
      <c r="C77" s="9">
        <v>469.66</v>
      </c>
      <c r="D77">
        <v>1100</v>
      </c>
      <c r="E77" s="8">
        <v>2.3421198313673721</v>
      </c>
      <c r="F77" s="7">
        <v>0.42696363636363638</v>
      </c>
      <c r="G77">
        <v>2021</v>
      </c>
    </row>
    <row r="78" spans="1:7" x14ac:dyDescent="0.25">
      <c r="A78" t="s">
        <v>4</v>
      </c>
      <c r="B78" s="3">
        <v>44317</v>
      </c>
      <c r="C78" s="9">
        <v>468.43</v>
      </c>
      <c r="D78">
        <v>1100</v>
      </c>
      <c r="E78" s="8">
        <v>2.3482697521508014</v>
      </c>
      <c r="F78" s="7">
        <v>0.42584545454545453</v>
      </c>
      <c r="G78">
        <v>2021</v>
      </c>
    </row>
    <row r="79" spans="1:7" x14ac:dyDescent="0.25">
      <c r="A79" t="s">
        <v>4</v>
      </c>
      <c r="B79" s="3">
        <v>44348</v>
      </c>
      <c r="C79" s="9">
        <v>470.97</v>
      </c>
      <c r="D79">
        <v>1100</v>
      </c>
      <c r="E79" s="8">
        <v>2.3356052402488481</v>
      </c>
      <c r="F79" s="7">
        <v>0.42815454545454545</v>
      </c>
      <c r="G79">
        <v>2021</v>
      </c>
    </row>
    <row r="80" spans="1:7" x14ac:dyDescent="0.25">
      <c r="A80" t="s">
        <v>4</v>
      </c>
      <c r="B80" s="3">
        <v>44378</v>
      </c>
      <c r="C80" s="9">
        <v>488.42</v>
      </c>
      <c r="D80">
        <v>1100</v>
      </c>
      <c r="E80" s="8">
        <v>2.252160026206953</v>
      </c>
      <c r="F80" s="7">
        <v>0.44401818181818181</v>
      </c>
      <c r="G80">
        <v>2021</v>
      </c>
    </row>
    <row r="81" spans="1:7" x14ac:dyDescent="0.25">
      <c r="A81" t="s">
        <v>4</v>
      </c>
      <c r="B81" s="3">
        <v>44409</v>
      </c>
      <c r="C81" s="9">
        <v>456.4</v>
      </c>
      <c r="D81">
        <v>1100</v>
      </c>
      <c r="E81" s="8">
        <v>2.4101665205959684</v>
      </c>
      <c r="F81" s="7">
        <v>0.41490909090909089</v>
      </c>
      <c r="G81">
        <v>2021</v>
      </c>
    </row>
    <row r="82" spans="1:7" x14ac:dyDescent="0.25">
      <c r="A82" t="s">
        <v>4</v>
      </c>
      <c r="B82" s="3">
        <v>44440</v>
      </c>
      <c r="C82" s="9">
        <v>454.03</v>
      </c>
      <c r="D82">
        <v>1100</v>
      </c>
      <c r="E82" s="8">
        <v>2.4227473955465499</v>
      </c>
      <c r="F82" s="7">
        <v>0.41275454545454543</v>
      </c>
      <c r="G82">
        <v>2021</v>
      </c>
    </row>
    <row r="83" spans="1:7" x14ac:dyDescent="0.25">
      <c r="A83" t="s">
        <v>4</v>
      </c>
      <c r="B83" s="3">
        <v>44470</v>
      </c>
      <c r="C83" s="9">
        <v>464.17</v>
      </c>
      <c r="D83">
        <v>1100</v>
      </c>
      <c r="E83" s="8">
        <v>2.3698214016416399</v>
      </c>
      <c r="F83" s="7">
        <v>0.42197272727272728</v>
      </c>
      <c r="G83">
        <v>2021</v>
      </c>
    </row>
    <row r="84" spans="1:7" x14ac:dyDescent="0.25">
      <c r="A84" t="s">
        <v>4</v>
      </c>
      <c r="B84" s="3">
        <v>44501</v>
      </c>
      <c r="C84" s="9">
        <v>473.26</v>
      </c>
      <c r="D84">
        <v>1100</v>
      </c>
      <c r="E84" s="8">
        <v>2.3243037653720999</v>
      </c>
      <c r="F84" s="7">
        <v>0.43023636363636364</v>
      </c>
      <c r="G84">
        <v>2021</v>
      </c>
    </row>
    <row r="85" spans="1:7" x14ac:dyDescent="0.25">
      <c r="A85" t="s">
        <v>4</v>
      </c>
      <c r="B85" s="3">
        <v>44531</v>
      </c>
      <c r="C85" s="9">
        <v>478.05</v>
      </c>
      <c r="D85">
        <v>1100</v>
      </c>
      <c r="E85" s="8">
        <v>2.3010145382282188</v>
      </c>
      <c r="F85" s="7">
        <v>0.43459090909090908</v>
      </c>
      <c r="G85">
        <v>2021</v>
      </c>
    </row>
    <row r="86" spans="1:7" x14ac:dyDescent="0.25">
      <c r="A86" t="s">
        <v>4</v>
      </c>
      <c r="B86" s="3">
        <v>44562</v>
      </c>
      <c r="C86" s="9">
        <v>507.82</v>
      </c>
      <c r="D86">
        <v>1212</v>
      </c>
      <c r="E86" s="8">
        <v>2.3866724429916113</v>
      </c>
      <c r="F86" s="7">
        <v>0.41899339933993401</v>
      </c>
      <c r="G86">
        <v>2022</v>
      </c>
    </row>
    <row r="87" spans="1:7" x14ac:dyDescent="0.25">
      <c r="A87" t="s">
        <v>4</v>
      </c>
      <c r="B87" s="3">
        <v>44593</v>
      </c>
      <c r="C87" s="9">
        <v>516.82000000000005</v>
      </c>
      <c r="D87">
        <v>1212</v>
      </c>
      <c r="E87" s="8">
        <v>2.3451104833404277</v>
      </c>
      <c r="F87" s="7">
        <v>0.42641914191419145</v>
      </c>
      <c r="G87">
        <v>2022</v>
      </c>
    </row>
    <row r="88" spans="1:7" x14ac:dyDescent="0.25">
      <c r="A88" t="s">
        <v>4</v>
      </c>
      <c r="B88" s="3">
        <v>44621</v>
      </c>
      <c r="C88" s="9">
        <v>524.99</v>
      </c>
      <c r="D88">
        <v>1212</v>
      </c>
      <c r="E88" s="8">
        <v>2.3086154021981371</v>
      </c>
      <c r="F88" s="7">
        <v>0.43316006600660067</v>
      </c>
      <c r="G88">
        <v>2022</v>
      </c>
    </row>
    <row r="89" spans="1:7" x14ac:dyDescent="0.25">
      <c r="A89" t="s">
        <v>4</v>
      </c>
      <c r="B89" s="3">
        <v>44652</v>
      </c>
      <c r="C89" s="9">
        <v>551.47</v>
      </c>
      <c r="D89">
        <v>1212</v>
      </c>
      <c r="E89" s="8">
        <v>2.197762344279834</v>
      </c>
      <c r="F89" s="7">
        <v>0.45500825082508251</v>
      </c>
      <c r="G89">
        <v>2022</v>
      </c>
    </row>
    <row r="90" spans="1:7" x14ac:dyDescent="0.25">
      <c r="A90" t="s">
        <v>4</v>
      </c>
      <c r="B90" s="3">
        <v>44682</v>
      </c>
      <c r="C90" s="9">
        <v>548.38</v>
      </c>
      <c r="D90">
        <v>1212</v>
      </c>
      <c r="E90" s="8">
        <v>2.2101462489514572</v>
      </c>
      <c r="F90" s="7">
        <v>0.45245874587458745</v>
      </c>
      <c r="G90">
        <v>2022</v>
      </c>
    </row>
    <row r="91" spans="1:7" x14ac:dyDescent="0.25">
      <c r="A91" t="s">
        <v>4</v>
      </c>
      <c r="B91" s="3">
        <v>44713</v>
      </c>
      <c r="C91" s="9">
        <v>549.91</v>
      </c>
      <c r="D91">
        <v>1212</v>
      </c>
      <c r="E91" s="8">
        <v>2.2039970176938044</v>
      </c>
      <c r="F91" s="7">
        <v>0.45372112211221122</v>
      </c>
      <c r="G91">
        <v>2022</v>
      </c>
    </row>
    <row r="92" spans="1:7" x14ac:dyDescent="0.25">
      <c r="A92" t="s">
        <v>4</v>
      </c>
      <c r="B92" s="3">
        <v>44743</v>
      </c>
      <c r="C92" s="9">
        <v>542.5</v>
      </c>
      <c r="D92">
        <v>1212</v>
      </c>
      <c r="E92" s="8">
        <v>2.2341013824884794</v>
      </c>
      <c r="F92" s="7">
        <v>0.4476072607260726</v>
      </c>
      <c r="G92">
        <v>2022</v>
      </c>
    </row>
    <row r="93" spans="1:7" x14ac:dyDescent="0.25">
      <c r="A93" t="s">
        <v>4</v>
      </c>
      <c r="B93" s="3">
        <v>44774</v>
      </c>
      <c r="C93" s="9">
        <v>539.57000000000005</v>
      </c>
      <c r="D93">
        <v>1212</v>
      </c>
      <c r="E93" s="8">
        <v>2.2462331115517911</v>
      </c>
      <c r="F93" s="7">
        <v>0.44518976897689772</v>
      </c>
      <c r="G93">
        <v>2022</v>
      </c>
    </row>
    <row r="94" spans="1:7" x14ac:dyDescent="0.25">
      <c r="A94" t="s">
        <v>4</v>
      </c>
      <c r="B94" s="3">
        <v>44805</v>
      </c>
      <c r="C94" s="9">
        <v>518.67999999999995</v>
      </c>
      <c r="D94">
        <v>1212</v>
      </c>
      <c r="E94" s="8">
        <v>2.3367008560191258</v>
      </c>
      <c r="F94" s="7">
        <v>0.42795379537953793</v>
      </c>
      <c r="G94">
        <v>2022</v>
      </c>
    </row>
    <row r="95" spans="1:7" x14ac:dyDescent="0.25">
      <c r="A95" t="s">
        <v>4</v>
      </c>
      <c r="B95" s="3">
        <v>44835</v>
      </c>
      <c r="C95" s="9">
        <v>515.51</v>
      </c>
      <c r="D95">
        <v>1212</v>
      </c>
      <c r="E95" s="8">
        <v>2.3510698143585964</v>
      </c>
      <c r="F95" s="7">
        <v>0.42533828382838285</v>
      </c>
      <c r="G95">
        <v>2022</v>
      </c>
    </row>
    <row r="96" spans="1:7" x14ac:dyDescent="0.25">
      <c r="A96" t="s">
        <v>4</v>
      </c>
      <c r="B96" s="3">
        <v>44866</v>
      </c>
      <c r="C96" s="9">
        <v>511.97</v>
      </c>
      <c r="D96">
        <v>1212</v>
      </c>
      <c r="E96" s="8">
        <v>2.3673262105201474</v>
      </c>
      <c r="F96" s="7">
        <v>0.42241749174917492</v>
      </c>
      <c r="G96">
        <v>2022</v>
      </c>
    </row>
    <row r="97" spans="1:7" x14ac:dyDescent="0.25">
      <c r="A97" t="s">
        <v>4</v>
      </c>
      <c r="B97" s="3">
        <v>44896</v>
      </c>
      <c r="C97" s="9">
        <v>521.04999999999995</v>
      </c>
      <c r="D97">
        <v>1212</v>
      </c>
      <c r="E97" s="8">
        <v>2.3260723539007775</v>
      </c>
      <c r="F97" s="7">
        <v>0.42990924092409238</v>
      </c>
      <c r="G97">
        <v>2022</v>
      </c>
    </row>
    <row r="98" spans="1:7" x14ac:dyDescent="0.25">
      <c r="A98" t="s">
        <v>4</v>
      </c>
      <c r="B98" s="3">
        <v>44927</v>
      </c>
      <c r="C98" s="9">
        <v>555.28</v>
      </c>
      <c r="D98">
        <v>1302</v>
      </c>
      <c r="E98" s="8">
        <v>2.344763002449215</v>
      </c>
      <c r="F98" s="7">
        <v>0.4264823348694316</v>
      </c>
      <c r="G98">
        <v>2023</v>
      </c>
    </row>
    <row r="99" spans="1:7" x14ac:dyDescent="0.25">
      <c r="A99" t="s">
        <v>4</v>
      </c>
      <c r="B99" s="3">
        <v>44958</v>
      </c>
      <c r="C99" s="9">
        <v>552.97</v>
      </c>
      <c r="D99">
        <v>1302</v>
      </c>
      <c r="E99" s="8">
        <v>2.3545581134600431</v>
      </c>
      <c r="F99" s="7">
        <v>0.42470814132104456</v>
      </c>
      <c r="G99">
        <v>2023</v>
      </c>
    </row>
    <row r="100" spans="1:7" x14ac:dyDescent="0.25">
      <c r="A100" t="s">
        <v>4</v>
      </c>
      <c r="B100" s="3">
        <v>44986</v>
      </c>
      <c r="C100" s="9">
        <v>546.14</v>
      </c>
      <c r="D100">
        <v>1302</v>
      </c>
      <c r="E100" s="8">
        <v>2.3840041015124327</v>
      </c>
      <c r="F100" s="7">
        <v>0.41946236559139782</v>
      </c>
      <c r="G100">
        <v>2023</v>
      </c>
    </row>
    <row r="101" spans="1:7" x14ac:dyDescent="0.25">
      <c r="A101" t="s">
        <v>4</v>
      </c>
      <c r="B101" s="3">
        <v>45017</v>
      </c>
      <c r="C101" s="9">
        <v>553.89</v>
      </c>
      <c r="D101">
        <v>1302</v>
      </c>
      <c r="E101" s="8">
        <v>2.3506472404267997</v>
      </c>
      <c r="F101" s="7">
        <v>0.42541474654377881</v>
      </c>
      <c r="G101">
        <v>2023</v>
      </c>
    </row>
    <row r="102" spans="1:7" x14ac:dyDescent="0.25">
      <c r="A102" t="s">
        <v>4</v>
      </c>
      <c r="B102" s="3">
        <v>45047</v>
      </c>
      <c r="C102" s="9">
        <v>553.76</v>
      </c>
      <c r="D102">
        <v>1320</v>
      </c>
      <c r="E102" s="8">
        <v>2.3837041317538286</v>
      </c>
      <c r="F102" s="7">
        <v>0.41951515151515151</v>
      </c>
      <c r="G102">
        <v>2023</v>
      </c>
    </row>
    <row r="103" spans="1:7" x14ac:dyDescent="0.25">
      <c r="A103" t="s">
        <v>4</v>
      </c>
      <c r="B103" s="3">
        <v>45078</v>
      </c>
      <c r="C103" s="9">
        <v>567.11</v>
      </c>
      <c r="D103">
        <v>1320</v>
      </c>
      <c r="E103" s="8">
        <v>2.3275907672232901</v>
      </c>
      <c r="F103" s="7">
        <v>0.42962878787878789</v>
      </c>
      <c r="G103">
        <v>2023</v>
      </c>
    </row>
    <row r="104" spans="1:7" x14ac:dyDescent="0.25">
      <c r="A104" t="s">
        <v>4</v>
      </c>
      <c r="B104" s="3">
        <v>45108</v>
      </c>
      <c r="C104" s="9">
        <v>547.22</v>
      </c>
      <c r="D104">
        <v>1320</v>
      </c>
      <c r="E104" s="8">
        <v>2.4121925368224844</v>
      </c>
      <c r="F104" s="7">
        <v>0.41456060606060607</v>
      </c>
      <c r="G104">
        <v>2023</v>
      </c>
    </row>
    <row r="105" spans="1:7" x14ac:dyDescent="0.25">
      <c r="A105" t="s">
        <v>4</v>
      </c>
      <c r="B105" s="3">
        <v>45139</v>
      </c>
      <c r="C105" s="9">
        <v>542.66999999999996</v>
      </c>
      <c r="D105">
        <v>1320</v>
      </c>
      <c r="E105" s="8">
        <v>2.4324174912930512</v>
      </c>
      <c r="F105" s="7">
        <v>0.41111363636363635</v>
      </c>
      <c r="G105">
        <v>2023</v>
      </c>
    </row>
    <row r="106" spans="1:7" x14ac:dyDescent="0.25">
      <c r="A106" t="s">
        <v>4</v>
      </c>
      <c r="B106" s="3">
        <v>45170</v>
      </c>
      <c r="C106" s="9">
        <v>532.34</v>
      </c>
      <c r="D106">
        <v>1320</v>
      </c>
      <c r="E106" s="8">
        <v>2.4796182890633802</v>
      </c>
      <c r="F106" s="7">
        <v>0.40328787878787881</v>
      </c>
      <c r="G106">
        <v>2023</v>
      </c>
    </row>
    <row r="107" spans="1:7" x14ac:dyDescent="0.25">
      <c r="A107" t="s">
        <v>4</v>
      </c>
      <c r="B107" s="3">
        <v>45200</v>
      </c>
      <c r="C107" s="9">
        <v>521.96</v>
      </c>
      <c r="D107">
        <v>1320</v>
      </c>
      <c r="E107" s="8">
        <v>2.5289294198789176</v>
      </c>
      <c r="F107" s="7">
        <v>0.39542424242424246</v>
      </c>
      <c r="G107">
        <v>2023</v>
      </c>
    </row>
    <row r="108" spans="1:7" x14ac:dyDescent="0.25">
      <c r="A108" t="s">
        <v>4</v>
      </c>
      <c r="B108" s="3">
        <v>45231</v>
      </c>
      <c r="C108" s="9">
        <v>516.76</v>
      </c>
      <c r="D108">
        <v>1320</v>
      </c>
      <c r="E108" s="8">
        <v>2.5543772737828006</v>
      </c>
      <c r="F108" s="7">
        <v>0.39148484848484849</v>
      </c>
      <c r="G108">
        <v>2023</v>
      </c>
    </row>
    <row r="109" spans="1:7" x14ac:dyDescent="0.25">
      <c r="A109" t="s">
        <v>4</v>
      </c>
      <c r="B109" s="3">
        <v>45261</v>
      </c>
      <c r="C109" s="9">
        <v>517.26</v>
      </c>
      <c r="D109">
        <v>1320</v>
      </c>
      <c r="E109" s="8">
        <v>2.5519081313072731</v>
      </c>
      <c r="F109" s="7">
        <v>0.39186363636363636</v>
      </c>
      <c r="G109">
        <v>2023</v>
      </c>
    </row>
    <row r="110" spans="1:7" x14ac:dyDescent="0.25">
      <c r="A110" t="s">
        <v>4</v>
      </c>
      <c r="B110" s="3">
        <v>45292</v>
      </c>
      <c r="C110" s="9">
        <v>528.48</v>
      </c>
      <c r="D110">
        <v>1412</v>
      </c>
      <c r="E110" s="8">
        <v>2.6718135028761729</v>
      </c>
      <c r="F110" s="7">
        <v>0.37427762039660056</v>
      </c>
      <c r="G110">
        <v>2024</v>
      </c>
    </row>
    <row r="111" spans="1:7" x14ac:dyDescent="0.25">
      <c r="A111" t="s">
        <v>4</v>
      </c>
      <c r="B111" s="3">
        <v>45323</v>
      </c>
      <c r="C111" s="9">
        <v>534.4</v>
      </c>
      <c r="D111">
        <v>1412</v>
      </c>
      <c r="E111" s="8">
        <v>2.6422155688622757</v>
      </c>
      <c r="F111" s="7">
        <v>0.37847025495750708</v>
      </c>
      <c r="G111">
        <v>2024</v>
      </c>
    </row>
    <row r="112" spans="1:7" x14ac:dyDescent="0.25">
      <c r="A112" t="s">
        <v>4</v>
      </c>
      <c r="B112" s="3">
        <v>45352</v>
      </c>
      <c r="C112" s="9">
        <v>555.22</v>
      </c>
      <c r="D112">
        <v>1412</v>
      </c>
      <c r="E112" s="8">
        <v>2.5431360541767227</v>
      </c>
      <c r="F112" s="7">
        <v>0.39321529745042494</v>
      </c>
      <c r="G112">
        <v>2024</v>
      </c>
    </row>
    <row r="113" spans="1:7" x14ac:dyDescent="0.25">
      <c r="A113" t="s">
        <v>4</v>
      </c>
      <c r="B113" s="3">
        <v>45383</v>
      </c>
      <c r="C113" s="9">
        <v>582.11</v>
      </c>
      <c r="D113">
        <v>1412</v>
      </c>
      <c r="E113" s="8">
        <v>2.4256583807184207</v>
      </c>
      <c r="F113" s="7">
        <v>0.41225920679886685</v>
      </c>
      <c r="G113">
        <v>2024</v>
      </c>
    </row>
    <row r="114" spans="1:7" x14ac:dyDescent="0.25">
      <c r="A114" t="s">
        <v>4</v>
      </c>
      <c r="B114" s="3">
        <v>45413</v>
      </c>
      <c r="C114" s="9">
        <v>579.54999999999995</v>
      </c>
      <c r="D114">
        <v>1412</v>
      </c>
      <c r="E114" s="8">
        <v>2.4363730480545254</v>
      </c>
      <c r="F114" s="7">
        <v>0.41044617563739372</v>
      </c>
      <c r="G114">
        <v>2024</v>
      </c>
    </row>
    <row r="115" spans="1:7" x14ac:dyDescent="0.25">
      <c r="A115" t="s">
        <v>4</v>
      </c>
      <c r="B115" s="3">
        <v>45444</v>
      </c>
      <c r="C115" s="9">
        <v>561.96</v>
      </c>
      <c r="D115">
        <v>1412</v>
      </c>
      <c r="E115" s="8">
        <v>2.5126343511993734</v>
      </c>
      <c r="F115" s="7">
        <v>0.39798866855524084</v>
      </c>
      <c r="G115">
        <v>2024</v>
      </c>
    </row>
    <row r="116" spans="1:7" x14ac:dyDescent="0.25">
      <c r="A116" t="s">
        <v>4</v>
      </c>
      <c r="B116" s="3">
        <v>45474</v>
      </c>
      <c r="C116" s="9">
        <v>524.28</v>
      </c>
      <c r="D116">
        <v>1412</v>
      </c>
      <c r="E116" s="8">
        <v>2.6932173647669186</v>
      </c>
      <c r="F116" s="7">
        <v>0.37130311614730876</v>
      </c>
      <c r="G116">
        <v>2024</v>
      </c>
    </row>
    <row r="117" spans="1:7" x14ac:dyDescent="0.25">
      <c r="A117" t="s">
        <v>4</v>
      </c>
      <c r="B117" s="3">
        <v>45505</v>
      </c>
      <c r="C117" s="9">
        <v>516.4</v>
      </c>
      <c r="D117">
        <v>1412</v>
      </c>
      <c r="E117" s="8">
        <v>2.7343144848954299</v>
      </c>
      <c r="F117" s="7">
        <v>0.36572237960339943</v>
      </c>
      <c r="G117">
        <v>2024</v>
      </c>
    </row>
    <row r="118" spans="1:7" x14ac:dyDescent="0.25">
      <c r="A118" t="s">
        <v>4</v>
      </c>
      <c r="B118" s="3">
        <v>45536</v>
      </c>
      <c r="C118" s="9">
        <v>506.19</v>
      </c>
      <c r="D118">
        <v>1412</v>
      </c>
      <c r="E118" s="8">
        <v>2.7894664058950198</v>
      </c>
      <c r="F118" s="7">
        <v>0.3584915014164306</v>
      </c>
      <c r="G118">
        <v>2024</v>
      </c>
    </row>
    <row r="119" spans="1:7" x14ac:dyDescent="0.25">
      <c r="A119" t="s">
        <v>4</v>
      </c>
      <c r="B119" s="3">
        <v>45566</v>
      </c>
      <c r="C119" s="9">
        <v>519.30999999999995</v>
      </c>
      <c r="D119">
        <v>1412</v>
      </c>
      <c r="E119" s="8">
        <v>2.7189925092911751</v>
      </c>
      <c r="F119" s="7">
        <v>0.36778328611898015</v>
      </c>
      <c r="G119">
        <v>2024</v>
      </c>
    </row>
    <row r="120" spans="1:7" x14ac:dyDescent="0.25">
      <c r="A120" t="s">
        <v>4</v>
      </c>
      <c r="B120" s="3">
        <v>45597</v>
      </c>
      <c r="C120" s="9">
        <v>533.26</v>
      </c>
      <c r="D120">
        <v>1412</v>
      </c>
      <c r="E120" s="8">
        <v>2.6478640813111802</v>
      </c>
      <c r="F120" s="7">
        <v>0.37766288951841359</v>
      </c>
      <c r="G120">
        <v>2024</v>
      </c>
    </row>
    <row r="121" spans="1:7" x14ac:dyDescent="0.25">
      <c r="A121" t="s">
        <v>4</v>
      </c>
      <c r="B121" s="3">
        <v>45627</v>
      </c>
      <c r="C121" s="9">
        <v>554.08000000000004</v>
      </c>
      <c r="D121">
        <v>1412</v>
      </c>
      <c r="E121" s="8">
        <v>2.5483684666474153</v>
      </c>
      <c r="F121" s="7">
        <v>0.39240793201133145</v>
      </c>
      <c r="G121">
        <v>2024</v>
      </c>
    </row>
    <row r="122" spans="1:7" x14ac:dyDescent="0.25">
      <c r="A122" t="s">
        <v>4</v>
      </c>
      <c r="B122" s="3">
        <v>45658</v>
      </c>
      <c r="C122" s="9">
        <v>571.42999999999995</v>
      </c>
      <c r="D122">
        <v>1518</v>
      </c>
      <c r="E122" s="8">
        <v>2.6564933587666033</v>
      </c>
      <c r="F122" s="7">
        <v>0.37643610013175227</v>
      </c>
      <c r="G122">
        <v>2025</v>
      </c>
    </row>
    <row r="123" spans="1:7" x14ac:dyDescent="0.25">
      <c r="A123" t="s">
        <v>4</v>
      </c>
      <c r="B123" s="3">
        <v>45689</v>
      </c>
      <c r="C123" s="9">
        <v>580.45000000000005</v>
      </c>
      <c r="D123">
        <v>1518</v>
      </c>
      <c r="E123" s="8">
        <v>2.6152123352571279</v>
      </c>
      <c r="F123" s="7">
        <v>0.3823781291172596</v>
      </c>
      <c r="G123">
        <v>2025</v>
      </c>
    </row>
    <row r="124" spans="1:7" x14ac:dyDescent="0.25">
      <c r="A124" t="s">
        <v>4</v>
      </c>
      <c r="B124" s="3">
        <v>45717</v>
      </c>
      <c r="C124" s="9">
        <v>569.48</v>
      </c>
      <c r="D124">
        <v>1518</v>
      </c>
      <c r="E124" s="8">
        <v>2.6655896607431342</v>
      </c>
      <c r="F124" s="7">
        <v>0.37515151515151518</v>
      </c>
      <c r="G124">
        <v>2025</v>
      </c>
    </row>
    <row r="125" spans="1:7" x14ac:dyDescent="0.25">
      <c r="A125" t="s">
        <v>4</v>
      </c>
      <c r="B125" s="3">
        <v>45748</v>
      </c>
      <c r="C125" s="9">
        <v>579.92999999999995</v>
      </c>
      <c r="D125">
        <v>1518</v>
      </c>
      <c r="E125" s="8">
        <v>2.617557291397238</v>
      </c>
      <c r="F125" s="7">
        <v>0.38203557312252961</v>
      </c>
      <c r="G125">
        <v>2025</v>
      </c>
    </row>
    <row r="126" spans="1:7" x14ac:dyDescent="0.25">
      <c r="A126" t="s">
        <v>4</v>
      </c>
      <c r="B126" s="3">
        <v>45778</v>
      </c>
      <c r="C126" s="9">
        <v>579.54</v>
      </c>
      <c r="D126">
        <v>1518</v>
      </c>
      <c r="E126" s="8">
        <v>2.6193187700590124</v>
      </c>
      <c r="F126" s="7">
        <v>0.38177865612648221</v>
      </c>
      <c r="G126">
        <v>2025</v>
      </c>
    </row>
    <row r="127" spans="1:7" x14ac:dyDescent="0.25">
      <c r="A127" t="s">
        <v>4</v>
      </c>
      <c r="B127" s="3">
        <v>45809</v>
      </c>
      <c r="C127" s="9">
        <v>557.28</v>
      </c>
      <c r="D127">
        <v>1518</v>
      </c>
      <c r="E127" s="8">
        <v>2.7239448751076658</v>
      </c>
      <c r="F127" s="7">
        <v>0.36711462450592885</v>
      </c>
      <c r="G127">
        <v>2025</v>
      </c>
    </row>
    <row r="128" spans="1:7" x14ac:dyDescent="0.25">
      <c r="A128" t="s">
        <v>8</v>
      </c>
      <c r="B128" s="3">
        <v>42005</v>
      </c>
      <c r="C128" s="9">
        <v>337.57</v>
      </c>
      <c r="D128">
        <v>788</v>
      </c>
      <c r="E128" s="8">
        <v>2.3343306573451432</v>
      </c>
      <c r="F128" s="7">
        <v>0.42838832487309642</v>
      </c>
      <c r="G128">
        <v>2015</v>
      </c>
    </row>
    <row r="129" spans="1:7" x14ac:dyDescent="0.25">
      <c r="A129" t="s">
        <v>8</v>
      </c>
      <c r="B129" s="3">
        <v>42036</v>
      </c>
      <c r="C129" s="9">
        <v>341.72</v>
      </c>
      <c r="D129">
        <v>788</v>
      </c>
      <c r="E129" s="8">
        <v>2.3059815053259975</v>
      </c>
      <c r="F129" s="7">
        <v>0.43365482233502539</v>
      </c>
      <c r="G129">
        <v>2015</v>
      </c>
    </row>
    <row r="130" spans="1:7" x14ac:dyDescent="0.25">
      <c r="A130" t="s">
        <v>8</v>
      </c>
      <c r="B130" s="3">
        <v>42064</v>
      </c>
      <c r="C130" s="9">
        <v>343.22</v>
      </c>
      <c r="D130">
        <v>788</v>
      </c>
      <c r="E130" s="8">
        <v>2.2959035021269156</v>
      </c>
      <c r="F130" s="7">
        <v>0.43555837563451782</v>
      </c>
      <c r="G130">
        <v>2015</v>
      </c>
    </row>
    <row r="131" spans="1:7" x14ac:dyDescent="0.25">
      <c r="A131" t="s">
        <v>8</v>
      </c>
      <c r="B131" s="3">
        <v>42095</v>
      </c>
      <c r="C131" s="9">
        <v>348.36</v>
      </c>
      <c r="D131">
        <v>788</v>
      </c>
      <c r="E131" s="8">
        <v>2.262027787346423</v>
      </c>
      <c r="F131" s="7">
        <v>0.44208121827411168</v>
      </c>
      <c r="G131">
        <v>2015</v>
      </c>
    </row>
    <row r="132" spans="1:7" x14ac:dyDescent="0.25">
      <c r="A132" t="s">
        <v>8</v>
      </c>
      <c r="B132" s="3">
        <v>42125</v>
      </c>
      <c r="C132" s="9">
        <v>355.92</v>
      </c>
      <c r="D132">
        <v>788</v>
      </c>
      <c r="E132" s="8">
        <v>2.213980669813441</v>
      </c>
      <c r="F132" s="7">
        <v>0.45167512690355333</v>
      </c>
      <c r="G132">
        <v>2015</v>
      </c>
    </row>
    <row r="133" spans="1:7" x14ac:dyDescent="0.25">
      <c r="A133" t="s">
        <v>8</v>
      </c>
      <c r="B133" s="3">
        <v>42156</v>
      </c>
      <c r="C133" s="9">
        <v>338.76</v>
      </c>
      <c r="D133">
        <v>788</v>
      </c>
      <c r="E133" s="8">
        <v>2.3261305939308063</v>
      </c>
      <c r="F133" s="7">
        <v>0.4298984771573604</v>
      </c>
      <c r="G133">
        <v>2015</v>
      </c>
    </row>
    <row r="134" spans="1:7" x14ac:dyDescent="0.25">
      <c r="A134" t="s">
        <v>8</v>
      </c>
      <c r="B134" s="3">
        <v>42186</v>
      </c>
      <c r="C134" s="9">
        <v>345.02</v>
      </c>
      <c r="D134">
        <v>788</v>
      </c>
      <c r="E134" s="8">
        <v>2.2839255695322009</v>
      </c>
      <c r="F134" s="7">
        <v>0.43784263959390862</v>
      </c>
      <c r="G134">
        <v>2015</v>
      </c>
    </row>
    <row r="135" spans="1:7" x14ac:dyDescent="0.25">
      <c r="A135" t="s">
        <v>8</v>
      </c>
      <c r="B135" s="3">
        <v>42217</v>
      </c>
      <c r="C135" s="9">
        <v>337.42</v>
      </c>
      <c r="D135">
        <v>788</v>
      </c>
      <c r="E135" s="8">
        <v>2.3353683836168573</v>
      </c>
      <c r="F135" s="7">
        <v>0.42819796954314721</v>
      </c>
      <c r="G135">
        <v>2015</v>
      </c>
    </row>
    <row r="136" spans="1:7" x14ac:dyDescent="0.25">
      <c r="A136" t="s">
        <v>8</v>
      </c>
      <c r="B136" s="3">
        <v>42248</v>
      </c>
      <c r="C136" s="9">
        <v>338.19</v>
      </c>
      <c r="D136">
        <v>788</v>
      </c>
      <c r="E136" s="8">
        <v>2.3300511546763656</v>
      </c>
      <c r="F136" s="7">
        <v>0.42917512690355331</v>
      </c>
      <c r="G136">
        <v>2015</v>
      </c>
    </row>
    <row r="137" spans="1:7" x14ac:dyDescent="0.25">
      <c r="A137" t="s">
        <v>8</v>
      </c>
      <c r="B137" s="3">
        <v>42278</v>
      </c>
      <c r="C137" s="9">
        <v>338.61</v>
      </c>
      <c r="D137">
        <v>788</v>
      </c>
      <c r="E137" s="8">
        <v>2.327161040725318</v>
      </c>
      <c r="F137" s="7">
        <v>0.42970812182741119</v>
      </c>
      <c r="G137">
        <v>2015</v>
      </c>
    </row>
    <row r="138" spans="1:7" x14ac:dyDescent="0.25">
      <c r="A138" t="s">
        <v>8</v>
      </c>
      <c r="B138" s="3">
        <v>42309</v>
      </c>
      <c r="C138" s="9">
        <v>362.19</v>
      </c>
      <c r="D138">
        <v>788</v>
      </c>
      <c r="E138" s="8">
        <v>2.1756536624423646</v>
      </c>
      <c r="F138" s="7">
        <v>0.45963197969543146</v>
      </c>
      <c r="G138">
        <v>2015</v>
      </c>
    </row>
    <row r="139" spans="1:7" x14ac:dyDescent="0.25">
      <c r="A139" t="s">
        <v>8</v>
      </c>
      <c r="B139" s="3">
        <v>42339</v>
      </c>
      <c r="C139" s="9">
        <v>376.91</v>
      </c>
      <c r="D139">
        <v>788</v>
      </c>
      <c r="E139" s="8">
        <v>2.0906847788596745</v>
      </c>
      <c r="F139" s="7">
        <v>0.47831218274111681</v>
      </c>
      <c r="G139">
        <v>2015</v>
      </c>
    </row>
    <row r="140" spans="1:7" x14ac:dyDescent="0.25">
      <c r="A140" t="s">
        <v>8</v>
      </c>
      <c r="B140" s="3">
        <v>42370</v>
      </c>
      <c r="C140" s="9">
        <v>417.72</v>
      </c>
      <c r="D140">
        <v>880</v>
      </c>
      <c r="E140" s="8">
        <v>2.1066743273005839</v>
      </c>
      <c r="F140" s="7">
        <v>0.4746818181818182</v>
      </c>
      <c r="G140">
        <v>2016</v>
      </c>
    </row>
    <row r="141" spans="1:7" x14ac:dyDescent="0.25">
      <c r="A141" t="s">
        <v>8</v>
      </c>
      <c r="B141" s="3">
        <v>42401</v>
      </c>
      <c r="C141" s="9">
        <v>400.29</v>
      </c>
      <c r="D141">
        <v>880</v>
      </c>
      <c r="E141" s="8">
        <v>2.1984061555372354</v>
      </c>
      <c r="F141" s="7">
        <v>0.45487500000000003</v>
      </c>
      <c r="G141">
        <v>2016</v>
      </c>
    </row>
    <row r="142" spans="1:7" x14ac:dyDescent="0.25">
      <c r="A142" t="s">
        <v>8</v>
      </c>
      <c r="B142" s="3">
        <v>42430</v>
      </c>
      <c r="C142" s="9">
        <v>408.84</v>
      </c>
      <c r="D142">
        <v>880</v>
      </c>
      <c r="E142" s="8">
        <v>2.1524312689560712</v>
      </c>
      <c r="F142" s="7">
        <v>0.46459090909090905</v>
      </c>
      <c r="G142">
        <v>2016</v>
      </c>
    </row>
    <row r="143" spans="1:7" x14ac:dyDescent="0.25">
      <c r="A143" t="s">
        <v>8</v>
      </c>
      <c r="B143" s="3">
        <v>42461</v>
      </c>
      <c r="C143" s="9">
        <v>399.24</v>
      </c>
      <c r="D143">
        <v>880</v>
      </c>
      <c r="E143" s="8">
        <v>2.204187957118525</v>
      </c>
      <c r="F143" s="7">
        <v>0.45368181818181819</v>
      </c>
      <c r="G143">
        <v>2016</v>
      </c>
    </row>
    <row r="144" spans="1:7" x14ac:dyDescent="0.25">
      <c r="A144" t="s">
        <v>8</v>
      </c>
      <c r="B144" s="3">
        <v>42491</v>
      </c>
      <c r="C144" s="9">
        <v>408.5</v>
      </c>
      <c r="D144">
        <v>880</v>
      </c>
      <c r="E144" s="8">
        <v>2.1542227662178703</v>
      </c>
      <c r="F144" s="7">
        <v>0.46420454545454548</v>
      </c>
      <c r="G144">
        <v>2016</v>
      </c>
    </row>
    <row r="145" spans="1:7" x14ac:dyDescent="0.25">
      <c r="A145" t="s">
        <v>8</v>
      </c>
      <c r="B145" s="3">
        <v>42522</v>
      </c>
      <c r="C145" s="9">
        <v>425.82</v>
      </c>
      <c r="D145">
        <v>880</v>
      </c>
      <c r="E145" s="8">
        <v>2.0666009111831292</v>
      </c>
      <c r="F145" s="7">
        <v>0.48388636363636361</v>
      </c>
      <c r="G145">
        <v>2016</v>
      </c>
    </row>
    <row r="146" spans="1:7" x14ac:dyDescent="0.25">
      <c r="A146" t="s">
        <v>8</v>
      </c>
      <c r="B146" s="3">
        <v>42552</v>
      </c>
      <c r="C146" s="9">
        <v>423.1</v>
      </c>
      <c r="D146">
        <v>880</v>
      </c>
      <c r="E146" s="8">
        <v>2.0798865516426375</v>
      </c>
      <c r="F146" s="7">
        <v>0.48079545454545458</v>
      </c>
      <c r="G146">
        <v>2016</v>
      </c>
    </row>
    <row r="147" spans="1:7" x14ac:dyDescent="0.25">
      <c r="A147" t="s">
        <v>8</v>
      </c>
      <c r="B147" s="3">
        <v>42583</v>
      </c>
      <c r="C147" s="9">
        <v>429.64</v>
      </c>
      <c r="D147">
        <v>880</v>
      </c>
      <c r="E147" s="8">
        <v>2.0482264221208455</v>
      </c>
      <c r="F147" s="7">
        <v>0.48822727272727273</v>
      </c>
      <c r="G147">
        <v>2016</v>
      </c>
    </row>
    <row r="148" spans="1:7" x14ac:dyDescent="0.25">
      <c r="A148" t="s">
        <v>8</v>
      </c>
      <c r="B148" s="3">
        <v>42614</v>
      </c>
      <c r="C148" s="9">
        <v>421.55</v>
      </c>
      <c r="D148">
        <v>880</v>
      </c>
      <c r="E148" s="8">
        <v>2.0875341003439685</v>
      </c>
      <c r="F148" s="7">
        <v>0.47903409090909094</v>
      </c>
      <c r="G148">
        <v>2016</v>
      </c>
    </row>
    <row r="149" spans="1:7" x14ac:dyDescent="0.25">
      <c r="A149" t="s">
        <v>8</v>
      </c>
      <c r="B149" s="3">
        <v>42644</v>
      </c>
      <c r="C149" s="9">
        <v>418.47</v>
      </c>
      <c r="D149">
        <v>880</v>
      </c>
      <c r="E149" s="8">
        <v>2.1028986546227926</v>
      </c>
      <c r="F149" s="7">
        <v>0.47553409090909093</v>
      </c>
      <c r="G149">
        <v>2016</v>
      </c>
    </row>
    <row r="150" spans="1:7" x14ac:dyDescent="0.25">
      <c r="A150" t="s">
        <v>8</v>
      </c>
      <c r="B150" s="3">
        <v>42675</v>
      </c>
      <c r="C150" s="9">
        <v>400.9</v>
      </c>
      <c r="D150">
        <v>880</v>
      </c>
      <c r="E150" s="8">
        <v>2.195061112496882</v>
      </c>
      <c r="F150" s="7">
        <v>0.45556818181818182</v>
      </c>
      <c r="G150">
        <v>2016</v>
      </c>
    </row>
    <row r="151" spans="1:7" x14ac:dyDescent="0.25">
      <c r="A151" t="s">
        <v>8</v>
      </c>
      <c r="B151" s="3">
        <v>42705</v>
      </c>
      <c r="C151" s="9">
        <v>394.66</v>
      </c>
      <c r="D151">
        <v>880</v>
      </c>
      <c r="E151" s="8">
        <v>2.2297673947195054</v>
      </c>
      <c r="F151" s="7">
        <v>0.44847727272727278</v>
      </c>
      <c r="G151">
        <v>2016</v>
      </c>
    </row>
    <row r="152" spans="1:7" x14ac:dyDescent="0.25">
      <c r="A152" t="s">
        <v>8</v>
      </c>
      <c r="B152" s="3">
        <v>42736</v>
      </c>
      <c r="C152" s="9">
        <v>389.69</v>
      </c>
      <c r="D152">
        <v>937</v>
      </c>
      <c r="E152" s="8">
        <v>2.4044753522030331</v>
      </c>
      <c r="F152" s="7">
        <v>0.41589114194236926</v>
      </c>
      <c r="G152">
        <v>2017</v>
      </c>
    </row>
    <row r="153" spans="1:7" x14ac:dyDescent="0.25">
      <c r="A153" t="s">
        <v>8</v>
      </c>
      <c r="B153" s="3">
        <v>42767</v>
      </c>
      <c r="C153" s="9">
        <v>377.66</v>
      </c>
      <c r="D153">
        <v>937</v>
      </c>
      <c r="E153" s="8">
        <v>2.4810676269660541</v>
      </c>
      <c r="F153" s="7">
        <v>0.40305229455709712</v>
      </c>
      <c r="G153">
        <v>2017</v>
      </c>
    </row>
    <row r="154" spans="1:7" x14ac:dyDescent="0.25">
      <c r="A154" t="s">
        <v>8</v>
      </c>
      <c r="B154" s="3">
        <v>42795</v>
      </c>
      <c r="C154" s="9">
        <v>385.57</v>
      </c>
      <c r="D154">
        <v>937</v>
      </c>
      <c r="E154" s="8">
        <v>2.4301683222242394</v>
      </c>
      <c r="F154" s="7">
        <v>0.41149413020277481</v>
      </c>
      <c r="G154">
        <v>2017</v>
      </c>
    </row>
    <row r="155" spans="1:7" x14ac:dyDescent="0.25">
      <c r="A155" t="s">
        <v>8</v>
      </c>
      <c r="B155" s="3">
        <v>42826</v>
      </c>
      <c r="C155" s="9">
        <v>397.36</v>
      </c>
      <c r="D155">
        <v>937</v>
      </c>
      <c r="E155" s="8">
        <v>2.3580632172337426</v>
      </c>
      <c r="F155" s="7">
        <v>0.424076840981857</v>
      </c>
      <c r="G155">
        <v>2017</v>
      </c>
    </row>
    <row r="156" spans="1:7" x14ac:dyDescent="0.25">
      <c r="A156" t="s">
        <v>8</v>
      </c>
      <c r="B156" s="3">
        <v>42856</v>
      </c>
      <c r="C156" s="9">
        <v>390.6</v>
      </c>
      <c r="D156">
        <v>937</v>
      </c>
      <c r="E156" s="8">
        <v>2.3988735279057858</v>
      </c>
      <c r="F156" s="7">
        <v>0.41686232657417294</v>
      </c>
      <c r="G156">
        <v>2017</v>
      </c>
    </row>
    <row r="157" spans="1:7" x14ac:dyDescent="0.25">
      <c r="A157" t="s">
        <v>8</v>
      </c>
      <c r="B157" s="3">
        <v>42887</v>
      </c>
      <c r="C157" s="9">
        <v>374.87</v>
      </c>
      <c r="D157">
        <v>937</v>
      </c>
      <c r="E157" s="8">
        <v>2.4995331714994533</v>
      </c>
      <c r="F157" s="7">
        <v>0.40007470651013877</v>
      </c>
      <c r="G157">
        <v>2017</v>
      </c>
    </row>
    <row r="158" spans="1:7" x14ac:dyDescent="0.25">
      <c r="A158" t="s">
        <v>8</v>
      </c>
      <c r="B158" s="3">
        <v>42917</v>
      </c>
      <c r="C158" s="9">
        <v>383.69</v>
      </c>
      <c r="D158">
        <v>937</v>
      </c>
      <c r="E158" s="8">
        <v>2.4420756339753447</v>
      </c>
      <c r="F158" s="7">
        <v>0.40948772678762008</v>
      </c>
      <c r="G158">
        <v>2017</v>
      </c>
    </row>
    <row r="159" spans="1:7" x14ac:dyDescent="0.25">
      <c r="A159" t="s">
        <v>8</v>
      </c>
      <c r="B159" s="3">
        <v>42948</v>
      </c>
      <c r="C159" s="9">
        <v>365.05</v>
      </c>
      <c r="D159">
        <v>937</v>
      </c>
      <c r="E159" s="8">
        <v>2.5667716751129981</v>
      </c>
      <c r="F159" s="7">
        <v>0.38959445037353257</v>
      </c>
      <c r="G159">
        <v>2017</v>
      </c>
    </row>
    <row r="160" spans="1:7" x14ac:dyDescent="0.25">
      <c r="A160" t="s">
        <v>8</v>
      </c>
      <c r="B160" s="3">
        <v>42979</v>
      </c>
      <c r="C160" s="9">
        <v>361.82</v>
      </c>
      <c r="D160">
        <v>937</v>
      </c>
      <c r="E160" s="8">
        <v>2.5896854789674424</v>
      </c>
      <c r="F160" s="7">
        <v>0.38614727854855924</v>
      </c>
      <c r="G160">
        <v>2017</v>
      </c>
    </row>
    <row r="161" spans="1:7" x14ac:dyDescent="0.25">
      <c r="A161" t="s">
        <v>8</v>
      </c>
      <c r="B161" s="3">
        <v>43009</v>
      </c>
      <c r="C161" s="9">
        <v>365.89</v>
      </c>
      <c r="D161">
        <v>937</v>
      </c>
      <c r="E161" s="8">
        <v>2.5608789526906994</v>
      </c>
      <c r="F161" s="7">
        <v>0.3904909284951974</v>
      </c>
      <c r="G161">
        <v>2017</v>
      </c>
    </row>
    <row r="162" spans="1:7" x14ac:dyDescent="0.25">
      <c r="A162" t="s">
        <v>8</v>
      </c>
      <c r="B162" s="3">
        <v>43040</v>
      </c>
      <c r="C162" s="9">
        <v>359.71</v>
      </c>
      <c r="D162">
        <v>937</v>
      </c>
      <c r="E162" s="8">
        <v>2.6048761502321316</v>
      </c>
      <c r="F162" s="7">
        <v>0.38389541088580575</v>
      </c>
      <c r="G162">
        <v>2017</v>
      </c>
    </row>
    <row r="163" spans="1:7" x14ac:dyDescent="0.25">
      <c r="A163" t="s">
        <v>8</v>
      </c>
      <c r="B163" s="3">
        <v>43070</v>
      </c>
      <c r="C163" s="9">
        <v>361.61</v>
      </c>
      <c r="D163">
        <v>937</v>
      </c>
      <c r="E163" s="8">
        <v>2.5911894029479274</v>
      </c>
      <c r="F163" s="7">
        <v>0.385923159018143</v>
      </c>
      <c r="G163">
        <v>2017</v>
      </c>
    </row>
    <row r="164" spans="1:7" x14ac:dyDescent="0.25">
      <c r="A164" t="s">
        <v>8</v>
      </c>
      <c r="B164" s="3">
        <v>43101</v>
      </c>
      <c r="C164" s="9">
        <v>380.02</v>
      </c>
      <c r="D164">
        <v>954</v>
      </c>
      <c r="E164" s="8">
        <v>2.5103941897794853</v>
      </c>
      <c r="F164" s="7">
        <v>0.3983438155136268</v>
      </c>
      <c r="G164">
        <v>2018</v>
      </c>
    </row>
    <row r="165" spans="1:7" x14ac:dyDescent="0.25">
      <c r="A165" t="s">
        <v>8</v>
      </c>
      <c r="B165" s="3">
        <v>43132</v>
      </c>
      <c r="C165" s="9">
        <v>381.9</v>
      </c>
      <c r="D165">
        <v>954</v>
      </c>
      <c r="E165" s="8">
        <v>2.4980361351139044</v>
      </c>
      <c r="F165" s="7">
        <v>0.400314465408805</v>
      </c>
      <c r="G165">
        <v>2018</v>
      </c>
    </row>
    <row r="166" spans="1:7" x14ac:dyDescent="0.25">
      <c r="A166" t="s">
        <v>8</v>
      </c>
      <c r="B166" s="3">
        <v>43160</v>
      </c>
      <c r="C166" s="9">
        <v>378.13</v>
      </c>
      <c r="D166">
        <v>954</v>
      </c>
      <c r="E166" s="8">
        <v>2.5229418453970855</v>
      </c>
      <c r="F166" s="7">
        <v>0.39636268343815512</v>
      </c>
      <c r="G166">
        <v>2018</v>
      </c>
    </row>
    <row r="167" spans="1:7" x14ac:dyDescent="0.25">
      <c r="A167" t="s">
        <v>8</v>
      </c>
      <c r="B167" s="3">
        <v>43191</v>
      </c>
      <c r="C167" s="9">
        <v>376.58</v>
      </c>
      <c r="D167">
        <v>954</v>
      </c>
      <c r="E167" s="8">
        <v>2.5333262520579956</v>
      </c>
      <c r="F167" s="7">
        <v>0.39473794549266245</v>
      </c>
      <c r="G167">
        <v>2018</v>
      </c>
    </row>
    <row r="168" spans="1:7" x14ac:dyDescent="0.25">
      <c r="A168" t="s">
        <v>8</v>
      </c>
      <c r="B168" s="3">
        <v>43221</v>
      </c>
      <c r="C168" s="9">
        <v>375.11</v>
      </c>
      <c r="D168">
        <v>954</v>
      </c>
      <c r="E168" s="8">
        <v>2.5432539788328756</v>
      </c>
      <c r="F168" s="7">
        <v>0.39319706498951784</v>
      </c>
      <c r="G168">
        <v>2018</v>
      </c>
    </row>
    <row r="169" spans="1:7" x14ac:dyDescent="0.25">
      <c r="A169" t="s">
        <v>8</v>
      </c>
      <c r="B169" s="3">
        <v>43252</v>
      </c>
      <c r="C169" s="9">
        <v>373.92</v>
      </c>
      <c r="D169">
        <v>954</v>
      </c>
      <c r="E169" s="8">
        <v>2.5513478818998716</v>
      </c>
      <c r="F169" s="7">
        <v>0.3919496855345912</v>
      </c>
      <c r="G169">
        <v>2018</v>
      </c>
    </row>
    <row r="170" spans="1:7" x14ac:dyDescent="0.25">
      <c r="A170" t="s">
        <v>8</v>
      </c>
      <c r="B170" s="3">
        <v>43282</v>
      </c>
      <c r="C170" s="9">
        <v>363.28</v>
      </c>
      <c r="D170">
        <v>954</v>
      </c>
      <c r="E170" s="8">
        <v>2.6260735520810394</v>
      </c>
      <c r="F170" s="7">
        <v>0.38079664570230604</v>
      </c>
      <c r="G170">
        <v>2018</v>
      </c>
    </row>
    <row r="171" spans="1:7" x14ac:dyDescent="0.25">
      <c r="A171" t="s">
        <v>8</v>
      </c>
      <c r="B171" s="3">
        <v>43313</v>
      </c>
      <c r="C171" s="9">
        <v>357.93</v>
      </c>
      <c r="D171">
        <v>954</v>
      </c>
      <c r="E171" s="8">
        <v>2.6653256223283881</v>
      </c>
      <c r="F171" s="7">
        <v>0.37518867924528304</v>
      </c>
      <c r="G171">
        <v>2018</v>
      </c>
    </row>
    <row r="172" spans="1:7" x14ac:dyDescent="0.25">
      <c r="A172" t="s">
        <v>8</v>
      </c>
      <c r="B172" s="3">
        <v>43344</v>
      </c>
      <c r="C172" s="9">
        <v>358.83</v>
      </c>
      <c r="D172">
        <v>954</v>
      </c>
      <c r="E172" s="8">
        <v>2.6586405818911465</v>
      </c>
      <c r="F172" s="7">
        <v>0.37613207547169808</v>
      </c>
      <c r="G172">
        <v>2018</v>
      </c>
    </row>
    <row r="173" spans="1:7" x14ac:dyDescent="0.25">
      <c r="A173" t="s">
        <v>8</v>
      </c>
      <c r="B173" s="3">
        <v>43374</v>
      </c>
      <c r="C173" s="9">
        <v>372.77</v>
      </c>
      <c r="D173">
        <v>954</v>
      </c>
      <c r="E173" s="8">
        <v>2.5592188212570757</v>
      </c>
      <c r="F173" s="7">
        <v>0.39074423480083853</v>
      </c>
      <c r="G173">
        <v>2018</v>
      </c>
    </row>
    <row r="174" spans="1:7" x14ac:dyDescent="0.25">
      <c r="A174" t="s">
        <v>8</v>
      </c>
      <c r="B174" s="3">
        <v>43405</v>
      </c>
      <c r="C174" s="9">
        <v>401.9</v>
      </c>
      <c r="D174">
        <v>954</v>
      </c>
      <c r="E174" s="8">
        <v>2.3737248071659618</v>
      </c>
      <c r="F174" s="7">
        <v>0.42127882599580713</v>
      </c>
      <c r="G174">
        <v>2018</v>
      </c>
    </row>
    <row r="175" spans="1:7" x14ac:dyDescent="0.25">
      <c r="A175" t="s">
        <v>8</v>
      </c>
      <c r="B175" s="3">
        <v>43435</v>
      </c>
      <c r="C175" s="9">
        <v>408.71</v>
      </c>
      <c r="D175">
        <v>954</v>
      </c>
      <c r="E175" s="8">
        <v>2.3341733747645033</v>
      </c>
      <c r="F175" s="7">
        <v>0.4284171907756813</v>
      </c>
      <c r="G175">
        <v>2018</v>
      </c>
    </row>
    <row r="176" spans="1:7" x14ac:dyDescent="0.25">
      <c r="A176" t="s">
        <v>8</v>
      </c>
      <c r="B176" s="3">
        <v>43466</v>
      </c>
      <c r="C176" s="9">
        <v>405.4</v>
      </c>
      <c r="D176">
        <v>998</v>
      </c>
      <c r="E176" s="8">
        <v>2.4617661568820921</v>
      </c>
      <c r="F176" s="7">
        <v>0.40621242484969938</v>
      </c>
      <c r="G176">
        <v>2019</v>
      </c>
    </row>
    <row r="177" spans="1:7" x14ac:dyDescent="0.25">
      <c r="A177" t="s">
        <v>8</v>
      </c>
      <c r="B177" s="3">
        <v>43497</v>
      </c>
      <c r="C177" s="9">
        <v>425</v>
      </c>
      <c r="D177">
        <v>998</v>
      </c>
      <c r="E177" s="8">
        <v>2.348235294117647</v>
      </c>
      <c r="F177" s="7">
        <v>0.42585170340681361</v>
      </c>
      <c r="G177">
        <v>2019</v>
      </c>
    </row>
    <row r="178" spans="1:7" x14ac:dyDescent="0.25">
      <c r="A178" t="s">
        <v>8</v>
      </c>
      <c r="B178" s="3">
        <v>43525</v>
      </c>
      <c r="C178" s="9">
        <v>443.26</v>
      </c>
      <c r="D178">
        <v>998</v>
      </c>
      <c r="E178" s="8">
        <v>2.2515002481613502</v>
      </c>
      <c r="F178" s="7">
        <v>0.44414829659318639</v>
      </c>
      <c r="G178">
        <v>2019</v>
      </c>
    </row>
    <row r="179" spans="1:7" x14ac:dyDescent="0.25">
      <c r="A179" t="s">
        <v>8</v>
      </c>
      <c r="B179" s="3">
        <v>43556</v>
      </c>
      <c r="C179" s="9">
        <v>456.91</v>
      </c>
      <c r="D179">
        <v>998</v>
      </c>
      <c r="E179" s="8">
        <v>2.1842375960254752</v>
      </c>
      <c r="F179" s="7">
        <v>0.45782565130260522</v>
      </c>
      <c r="G179">
        <v>2019</v>
      </c>
    </row>
    <row r="180" spans="1:7" x14ac:dyDescent="0.25">
      <c r="A180" t="s">
        <v>8</v>
      </c>
      <c r="B180" s="3">
        <v>43586</v>
      </c>
      <c r="C180" s="9">
        <v>424.85</v>
      </c>
      <c r="D180">
        <v>998</v>
      </c>
      <c r="E180" s="8">
        <v>2.3490643756619982</v>
      </c>
      <c r="F180" s="7">
        <v>0.42570140280561125</v>
      </c>
      <c r="G180">
        <v>2019</v>
      </c>
    </row>
    <row r="181" spans="1:7" x14ac:dyDescent="0.25">
      <c r="A181" t="s">
        <v>8</v>
      </c>
      <c r="B181" s="3">
        <v>43617</v>
      </c>
      <c r="C181" s="9">
        <v>429.3</v>
      </c>
      <c r="D181">
        <v>998</v>
      </c>
      <c r="E181" s="8">
        <v>2.324714651758677</v>
      </c>
      <c r="F181" s="7">
        <v>0.43016032064128257</v>
      </c>
      <c r="G181">
        <v>2019</v>
      </c>
    </row>
    <row r="182" spans="1:7" x14ac:dyDescent="0.25">
      <c r="A182" t="s">
        <v>8</v>
      </c>
      <c r="B182" s="3">
        <v>43647</v>
      </c>
      <c r="C182" s="9">
        <v>415.03</v>
      </c>
      <c r="D182">
        <v>998</v>
      </c>
      <c r="E182" s="8">
        <v>2.4046454473170615</v>
      </c>
      <c r="F182" s="7">
        <v>0.41586172344689376</v>
      </c>
      <c r="G182">
        <v>2019</v>
      </c>
    </row>
    <row r="183" spans="1:7" x14ac:dyDescent="0.25">
      <c r="A183" t="s">
        <v>8</v>
      </c>
      <c r="B183" s="3">
        <v>43678</v>
      </c>
      <c r="C183" s="9">
        <v>401.14</v>
      </c>
      <c r="D183">
        <v>998</v>
      </c>
      <c r="E183" s="8">
        <v>2.4879094580445731</v>
      </c>
      <c r="F183" s="7">
        <v>0.40194388777555107</v>
      </c>
      <c r="G183">
        <v>2019</v>
      </c>
    </row>
    <row r="184" spans="1:7" x14ac:dyDescent="0.25">
      <c r="A184" t="s">
        <v>8</v>
      </c>
      <c r="B184" s="3">
        <v>43709</v>
      </c>
      <c r="C184" s="9">
        <v>390.93</v>
      </c>
      <c r="D184">
        <v>998</v>
      </c>
      <c r="E184" s="8">
        <v>2.5528867060599083</v>
      </c>
      <c r="F184" s="7">
        <v>0.39171342685370741</v>
      </c>
      <c r="G184">
        <v>2019</v>
      </c>
    </row>
    <row r="185" spans="1:7" x14ac:dyDescent="0.25">
      <c r="A185" t="s">
        <v>8</v>
      </c>
      <c r="B185" s="3">
        <v>43739</v>
      </c>
      <c r="C185" s="9">
        <v>391.85</v>
      </c>
      <c r="D185">
        <v>998</v>
      </c>
      <c r="E185" s="8">
        <v>2.5468929437284675</v>
      </c>
      <c r="F185" s="7">
        <v>0.39263527054108216</v>
      </c>
      <c r="G185">
        <v>2019</v>
      </c>
    </row>
    <row r="186" spans="1:7" x14ac:dyDescent="0.25">
      <c r="A186" t="s">
        <v>8</v>
      </c>
      <c r="B186" s="3">
        <v>43770</v>
      </c>
      <c r="C186" s="9">
        <v>393.58</v>
      </c>
      <c r="D186">
        <v>998</v>
      </c>
      <c r="E186" s="8">
        <v>2.5356979521317142</v>
      </c>
      <c r="F186" s="7">
        <v>0.39436873747494988</v>
      </c>
      <c r="G186">
        <v>2019</v>
      </c>
    </row>
    <row r="187" spans="1:7" x14ac:dyDescent="0.25">
      <c r="A187" t="s">
        <v>8</v>
      </c>
      <c r="B187" s="3">
        <v>43800</v>
      </c>
      <c r="C187" s="9">
        <v>444.91</v>
      </c>
      <c r="D187">
        <v>998</v>
      </c>
      <c r="E187" s="8">
        <v>2.2431503000606865</v>
      </c>
      <c r="F187" s="7">
        <v>0.44580160320641288</v>
      </c>
      <c r="G187">
        <v>2019</v>
      </c>
    </row>
    <row r="188" spans="1:7" x14ac:dyDescent="0.25">
      <c r="A188" t="s">
        <v>8</v>
      </c>
      <c r="B188" s="3">
        <v>43831</v>
      </c>
      <c r="C188" s="9">
        <v>456.35</v>
      </c>
      <c r="D188">
        <v>1039</v>
      </c>
      <c r="E188" s="8">
        <v>2.2767612578065082</v>
      </c>
      <c r="F188" s="7">
        <v>0.43922040423484121</v>
      </c>
      <c r="G188">
        <v>2020</v>
      </c>
    </row>
    <row r="189" spans="1:7" x14ac:dyDescent="0.25">
      <c r="A189" t="s">
        <v>8</v>
      </c>
      <c r="B189" s="3">
        <v>43862</v>
      </c>
      <c r="C189" s="9">
        <v>459.1</v>
      </c>
      <c r="D189">
        <v>1045</v>
      </c>
      <c r="E189" s="8">
        <v>2.2761925506425613</v>
      </c>
      <c r="F189" s="7">
        <v>0.4393301435406699</v>
      </c>
      <c r="G189">
        <v>2020</v>
      </c>
    </row>
    <row r="190" spans="1:7" x14ac:dyDescent="0.25">
      <c r="A190" t="s">
        <v>8</v>
      </c>
      <c r="B190" s="3">
        <v>43891</v>
      </c>
      <c r="C190" s="9">
        <v>461.28</v>
      </c>
      <c r="D190">
        <v>1045</v>
      </c>
      <c r="E190" s="8">
        <v>2.2654353104405134</v>
      </c>
      <c r="F190" s="7">
        <v>0.44141626794258371</v>
      </c>
      <c r="G190">
        <v>2020</v>
      </c>
    </row>
    <row r="191" spans="1:7" x14ac:dyDescent="0.25">
      <c r="A191" t="s">
        <v>8</v>
      </c>
      <c r="B191" s="3">
        <v>43922</v>
      </c>
      <c r="C191" s="9">
        <v>484.55</v>
      </c>
      <c r="D191">
        <v>1045</v>
      </c>
      <c r="E191" s="8">
        <v>2.1566401816118046</v>
      </c>
      <c r="F191" s="7">
        <v>0.46368421052631581</v>
      </c>
      <c r="G191">
        <v>2020</v>
      </c>
    </row>
    <row r="192" spans="1:7" x14ac:dyDescent="0.25">
      <c r="A192" t="s">
        <v>8</v>
      </c>
      <c r="B192" s="3">
        <v>43952</v>
      </c>
      <c r="C192" s="9">
        <v>484.02</v>
      </c>
      <c r="D192">
        <v>1045</v>
      </c>
      <c r="E192" s="8">
        <v>2.15900169414487</v>
      </c>
      <c r="F192" s="7">
        <v>0.46317703349282296</v>
      </c>
      <c r="G192">
        <v>2020</v>
      </c>
    </row>
    <row r="193" spans="1:7" x14ac:dyDescent="0.25">
      <c r="A193" t="s">
        <v>8</v>
      </c>
      <c r="B193" s="3">
        <v>43983</v>
      </c>
      <c r="C193" s="9">
        <v>475.19</v>
      </c>
      <c r="D193">
        <v>1045</v>
      </c>
      <c r="E193" s="8">
        <v>2.1991203518592561</v>
      </c>
      <c r="F193" s="7">
        <v>0.4547272727272727</v>
      </c>
      <c r="G193">
        <v>2020</v>
      </c>
    </row>
    <row r="194" spans="1:7" x14ac:dyDescent="0.25">
      <c r="A194" t="s">
        <v>8</v>
      </c>
      <c r="B194" s="3">
        <v>44013</v>
      </c>
      <c r="C194" s="9">
        <v>465.06</v>
      </c>
      <c r="D194">
        <v>1045</v>
      </c>
      <c r="E194" s="8">
        <v>2.2470218896486474</v>
      </c>
      <c r="F194" s="7">
        <v>0.4450334928229665</v>
      </c>
      <c r="G194">
        <v>2020</v>
      </c>
    </row>
    <row r="195" spans="1:7" x14ac:dyDescent="0.25">
      <c r="A195" t="s">
        <v>8</v>
      </c>
      <c r="B195" s="3">
        <v>44044</v>
      </c>
      <c r="C195" s="9">
        <v>478.07</v>
      </c>
      <c r="D195">
        <v>1045</v>
      </c>
      <c r="E195" s="8">
        <v>2.1858723617880229</v>
      </c>
      <c r="F195" s="7">
        <v>0.45748325358851671</v>
      </c>
      <c r="G195">
        <v>2020</v>
      </c>
    </row>
    <row r="196" spans="1:7" x14ac:dyDescent="0.25">
      <c r="A196" t="s">
        <v>8</v>
      </c>
      <c r="B196" s="3">
        <v>44075</v>
      </c>
      <c r="C196" s="9">
        <v>491.62</v>
      </c>
      <c r="D196">
        <v>1045</v>
      </c>
      <c r="E196" s="8">
        <v>2.1256254830967007</v>
      </c>
      <c r="F196" s="7">
        <v>0.47044976076555023</v>
      </c>
      <c r="G196">
        <v>2020</v>
      </c>
    </row>
    <row r="197" spans="1:7" x14ac:dyDescent="0.25">
      <c r="A197" t="s">
        <v>8</v>
      </c>
      <c r="B197" s="3">
        <v>44105</v>
      </c>
      <c r="C197" s="9">
        <v>516.82000000000005</v>
      </c>
      <c r="D197">
        <v>1045</v>
      </c>
      <c r="E197" s="8">
        <v>2.0219805735072169</v>
      </c>
      <c r="F197" s="7">
        <v>0.49456459330143543</v>
      </c>
      <c r="G197">
        <v>2020</v>
      </c>
    </row>
    <row r="198" spans="1:7" x14ac:dyDescent="0.25">
      <c r="A198" t="s">
        <v>8</v>
      </c>
      <c r="B198" s="3">
        <v>44136</v>
      </c>
      <c r="C198" s="9">
        <v>552.37</v>
      </c>
      <c r="D198">
        <v>1045</v>
      </c>
      <c r="E198" s="8">
        <v>1.8918478556040335</v>
      </c>
      <c r="F198" s="7">
        <v>0.52858373205741627</v>
      </c>
      <c r="G198">
        <v>2020</v>
      </c>
    </row>
    <row r="199" spans="1:7" x14ac:dyDescent="0.25">
      <c r="A199" t="s">
        <v>8</v>
      </c>
      <c r="B199" s="3">
        <v>44166</v>
      </c>
      <c r="C199" s="9">
        <v>568.53</v>
      </c>
      <c r="D199">
        <v>1045</v>
      </c>
      <c r="E199" s="8">
        <v>1.8380736284804673</v>
      </c>
      <c r="F199" s="7">
        <v>0.54404784688995211</v>
      </c>
      <c r="G199">
        <v>2020</v>
      </c>
    </row>
    <row r="200" spans="1:7" x14ac:dyDescent="0.25">
      <c r="A200" t="s">
        <v>8</v>
      </c>
      <c r="B200" s="3">
        <v>44197</v>
      </c>
      <c r="C200" s="9">
        <v>592.26</v>
      </c>
      <c r="D200">
        <v>1100</v>
      </c>
      <c r="E200" s="8">
        <v>1.8572924053625097</v>
      </c>
      <c r="F200" s="7">
        <v>0.5384181818181818</v>
      </c>
      <c r="G200">
        <v>2021</v>
      </c>
    </row>
    <row r="201" spans="1:7" x14ac:dyDescent="0.25">
      <c r="A201" t="s">
        <v>8</v>
      </c>
      <c r="B201" s="3">
        <v>44228</v>
      </c>
      <c r="C201" s="9">
        <v>573.53</v>
      </c>
      <c r="D201">
        <v>1100</v>
      </c>
      <c r="E201" s="8">
        <v>1.9179467508238455</v>
      </c>
      <c r="F201" s="7">
        <v>0.52139090909090902</v>
      </c>
      <c r="G201">
        <v>2021</v>
      </c>
    </row>
    <row r="202" spans="1:7" x14ac:dyDescent="0.25">
      <c r="A202" t="s">
        <v>8</v>
      </c>
      <c r="B202" s="3">
        <v>44256</v>
      </c>
      <c r="C202" s="9">
        <v>555.66999999999996</v>
      </c>
      <c r="D202">
        <v>1100</v>
      </c>
      <c r="E202" s="8">
        <v>1.979592204005975</v>
      </c>
      <c r="F202" s="7">
        <v>0.50515454545454541</v>
      </c>
      <c r="G202">
        <v>2021</v>
      </c>
    </row>
    <row r="203" spans="1:7" x14ac:dyDescent="0.25">
      <c r="A203" t="s">
        <v>8</v>
      </c>
      <c r="B203" s="3">
        <v>44287</v>
      </c>
      <c r="C203" s="9">
        <v>565.78</v>
      </c>
      <c r="D203">
        <v>1100</v>
      </c>
      <c r="E203" s="8">
        <v>1.9442186008695961</v>
      </c>
      <c r="F203" s="7">
        <v>0.51434545454545455</v>
      </c>
      <c r="G203">
        <v>2021</v>
      </c>
    </row>
    <row r="204" spans="1:7" x14ac:dyDescent="0.25">
      <c r="A204" t="s">
        <v>8</v>
      </c>
      <c r="B204" s="3">
        <v>44348</v>
      </c>
      <c r="C204" s="9">
        <v>532.01</v>
      </c>
      <c r="D204">
        <v>1100</v>
      </c>
      <c r="E204" s="8">
        <v>2.0676303077009832</v>
      </c>
      <c r="F204" s="7">
        <v>0.48364545454545455</v>
      </c>
      <c r="G204">
        <v>2021</v>
      </c>
    </row>
    <row r="205" spans="1:7" x14ac:dyDescent="0.25">
      <c r="A205" t="s">
        <v>8</v>
      </c>
      <c r="B205" s="3">
        <v>44378</v>
      </c>
      <c r="C205" s="9">
        <v>549.49</v>
      </c>
      <c r="D205">
        <v>1100</v>
      </c>
      <c r="E205" s="8">
        <v>2.0018562667200497</v>
      </c>
      <c r="F205" s="7">
        <v>0.49953636363636367</v>
      </c>
      <c r="G205">
        <v>2021</v>
      </c>
    </row>
    <row r="206" spans="1:7" x14ac:dyDescent="0.25">
      <c r="A206" t="s">
        <v>8</v>
      </c>
      <c r="B206" s="3">
        <v>44409</v>
      </c>
      <c r="C206" s="9">
        <v>562.95000000000005</v>
      </c>
      <c r="D206">
        <v>1100</v>
      </c>
      <c r="E206" s="8">
        <v>1.9539923616662225</v>
      </c>
      <c r="F206" s="7">
        <v>0.51177272727272727</v>
      </c>
      <c r="G206">
        <v>2021</v>
      </c>
    </row>
    <row r="207" spans="1:7" x14ac:dyDescent="0.25">
      <c r="A207" t="s">
        <v>8</v>
      </c>
      <c r="B207" s="3">
        <v>44440</v>
      </c>
      <c r="C207" s="9">
        <v>582.61</v>
      </c>
      <c r="D207">
        <v>1100</v>
      </c>
      <c r="E207" s="8">
        <v>1.888055474502669</v>
      </c>
      <c r="F207" s="7">
        <v>0.52964545454545453</v>
      </c>
      <c r="G207">
        <v>2021</v>
      </c>
    </row>
    <row r="208" spans="1:7" x14ac:dyDescent="0.25">
      <c r="A208" t="s">
        <v>8</v>
      </c>
      <c r="B208" s="3">
        <v>44470</v>
      </c>
      <c r="C208" s="9">
        <v>598.79</v>
      </c>
      <c r="D208">
        <v>1100</v>
      </c>
      <c r="E208" s="8">
        <v>1.8370380266871524</v>
      </c>
      <c r="F208" s="7">
        <v>0.54435454545454542</v>
      </c>
      <c r="G208">
        <v>2021</v>
      </c>
    </row>
    <row r="209" spans="1:7" x14ac:dyDescent="0.25">
      <c r="A209" t="s">
        <v>8</v>
      </c>
      <c r="B209" s="3">
        <v>44501</v>
      </c>
      <c r="C209" s="9">
        <v>594.97</v>
      </c>
      <c r="D209">
        <v>1100</v>
      </c>
      <c r="E209" s="8">
        <v>1.8488327142545002</v>
      </c>
      <c r="F209" s="7">
        <v>0.54088181818181824</v>
      </c>
      <c r="G209">
        <v>2021</v>
      </c>
    </row>
    <row r="210" spans="1:7" x14ac:dyDescent="0.25">
      <c r="A210" t="s">
        <v>8</v>
      </c>
      <c r="B210" s="3">
        <v>44531</v>
      </c>
      <c r="C210" s="9">
        <v>605.16</v>
      </c>
      <c r="D210">
        <v>1100</v>
      </c>
      <c r="E210" s="8">
        <v>1.8177011038403068</v>
      </c>
      <c r="F210" s="7">
        <v>0.55014545454545449</v>
      </c>
      <c r="G210">
        <v>2021</v>
      </c>
    </row>
    <row r="211" spans="1:7" x14ac:dyDescent="0.25">
      <c r="A211" t="s">
        <v>8</v>
      </c>
      <c r="B211" s="3">
        <v>44562</v>
      </c>
      <c r="C211" s="9">
        <v>632.83000000000004</v>
      </c>
      <c r="D211">
        <v>1212</v>
      </c>
      <c r="E211" s="8">
        <v>1.915206295529605</v>
      </c>
      <c r="F211" s="7">
        <v>0.52213696369636964</v>
      </c>
      <c r="G211">
        <v>2022</v>
      </c>
    </row>
    <row r="212" spans="1:7" x14ac:dyDescent="0.25">
      <c r="A212" t="s">
        <v>8</v>
      </c>
      <c r="B212" s="3">
        <v>44593</v>
      </c>
      <c r="C212" s="9">
        <v>642.01</v>
      </c>
      <c r="D212">
        <v>1212</v>
      </c>
      <c r="E212" s="8">
        <v>1.8878210619772278</v>
      </c>
      <c r="F212" s="7">
        <v>0.52971122112211222</v>
      </c>
      <c r="G212">
        <v>2022</v>
      </c>
    </row>
    <row r="213" spans="1:7" x14ac:dyDescent="0.25">
      <c r="A213" t="s">
        <v>8</v>
      </c>
      <c r="B213" s="3">
        <v>44621</v>
      </c>
      <c r="C213" s="9">
        <v>669.47</v>
      </c>
      <c r="D213">
        <v>1212</v>
      </c>
      <c r="E213" s="8">
        <v>1.810387321313875</v>
      </c>
      <c r="F213" s="7">
        <v>0.55236798679867993</v>
      </c>
      <c r="G213">
        <v>2022</v>
      </c>
    </row>
    <row r="214" spans="1:7" x14ac:dyDescent="0.25">
      <c r="A214" t="s">
        <v>8</v>
      </c>
      <c r="B214" s="3">
        <v>44652</v>
      </c>
      <c r="C214" s="9">
        <v>693.41</v>
      </c>
      <c r="D214">
        <v>1212</v>
      </c>
      <c r="E214" s="8">
        <v>1.7478836474812882</v>
      </c>
      <c r="F214" s="7">
        <v>0.57212046204620459</v>
      </c>
      <c r="G214">
        <v>2022</v>
      </c>
    </row>
    <row r="215" spans="1:7" x14ac:dyDescent="0.25">
      <c r="A215" t="s">
        <v>8</v>
      </c>
      <c r="B215" s="3">
        <v>44682</v>
      </c>
      <c r="C215" s="9">
        <v>653.12</v>
      </c>
      <c r="D215">
        <v>1212</v>
      </c>
      <c r="E215" s="8">
        <v>1.8557079862812347</v>
      </c>
      <c r="F215" s="7">
        <v>0.53887788778877888</v>
      </c>
      <c r="G215">
        <v>2022</v>
      </c>
    </row>
    <row r="216" spans="1:7" x14ac:dyDescent="0.25">
      <c r="A216" t="s">
        <v>8</v>
      </c>
      <c r="B216" s="3">
        <v>44713</v>
      </c>
      <c r="C216" s="9">
        <v>648.77</v>
      </c>
      <c r="D216">
        <v>1212</v>
      </c>
      <c r="E216" s="8">
        <v>1.8681505001772585</v>
      </c>
      <c r="F216" s="7">
        <v>0.53528877887788773</v>
      </c>
      <c r="G216">
        <v>2022</v>
      </c>
    </row>
    <row r="217" spans="1:7" x14ac:dyDescent="0.25">
      <c r="A217" t="s">
        <v>8</v>
      </c>
      <c r="B217" s="3">
        <v>44743</v>
      </c>
      <c r="C217" s="9">
        <v>652.07000000000005</v>
      </c>
      <c r="D217">
        <v>1212</v>
      </c>
      <c r="E217" s="8">
        <v>1.8586961522535923</v>
      </c>
      <c r="F217" s="7">
        <v>0.53801155115511556</v>
      </c>
      <c r="G217">
        <v>2022</v>
      </c>
    </row>
    <row r="218" spans="1:7" x14ac:dyDescent="0.25">
      <c r="A218" t="s">
        <v>8</v>
      </c>
      <c r="B218" s="3">
        <v>44774</v>
      </c>
      <c r="C218" s="9">
        <v>638.19000000000005</v>
      </c>
      <c r="D218">
        <v>1212</v>
      </c>
      <c r="E218" s="8">
        <v>1.8991209514407934</v>
      </c>
      <c r="F218" s="7">
        <v>0.52655940594059414</v>
      </c>
      <c r="G218">
        <v>2022</v>
      </c>
    </row>
    <row r="219" spans="1:7" x14ac:dyDescent="0.25">
      <c r="A219" t="s">
        <v>8</v>
      </c>
      <c r="B219" s="3">
        <v>44805</v>
      </c>
      <c r="C219" s="9">
        <v>650.16</v>
      </c>
      <c r="D219">
        <v>1212</v>
      </c>
      <c r="E219" s="8">
        <v>1.864156515319306</v>
      </c>
      <c r="F219" s="7">
        <v>0.53643564356435636</v>
      </c>
      <c r="G219">
        <v>2022</v>
      </c>
    </row>
    <row r="220" spans="1:7" x14ac:dyDescent="0.25">
      <c r="A220" t="s">
        <v>8</v>
      </c>
      <c r="B220" s="3">
        <v>44835</v>
      </c>
      <c r="C220" s="9">
        <v>662.37</v>
      </c>
      <c r="D220">
        <v>1212</v>
      </c>
      <c r="E220" s="8">
        <v>1.8297930159880429</v>
      </c>
      <c r="F220" s="7">
        <v>0.546509900990099</v>
      </c>
      <c r="G220">
        <v>2022</v>
      </c>
    </row>
    <row r="221" spans="1:7" x14ac:dyDescent="0.25">
      <c r="A221" t="s">
        <v>8</v>
      </c>
      <c r="B221" s="3">
        <v>44866</v>
      </c>
      <c r="C221" s="9">
        <v>693.37</v>
      </c>
      <c r="D221">
        <v>1212</v>
      </c>
      <c r="E221" s="8">
        <v>1.7479844815899159</v>
      </c>
      <c r="F221" s="7">
        <v>0.57208745874587463</v>
      </c>
      <c r="G221">
        <v>2022</v>
      </c>
    </row>
    <row r="222" spans="1:7" x14ac:dyDescent="0.25">
      <c r="A222" t="s">
        <v>8</v>
      </c>
      <c r="B222" s="3">
        <v>44896</v>
      </c>
      <c r="C222" s="9">
        <v>696.32</v>
      </c>
      <c r="D222">
        <v>1212</v>
      </c>
      <c r="E222" s="8">
        <v>1.740579044117647</v>
      </c>
      <c r="F222" s="7">
        <v>0.57452145214521455</v>
      </c>
      <c r="G222">
        <v>2022</v>
      </c>
    </row>
    <row r="223" spans="1:7" x14ac:dyDescent="0.25">
      <c r="A223" t="s">
        <v>8</v>
      </c>
      <c r="B223" s="3">
        <v>44927</v>
      </c>
      <c r="C223" s="9">
        <v>707.93</v>
      </c>
      <c r="D223">
        <v>1302</v>
      </c>
      <c r="E223" s="8">
        <v>1.8391648891839589</v>
      </c>
      <c r="F223" s="7">
        <v>0.54372503840245767</v>
      </c>
      <c r="G223">
        <v>2023</v>
      </c>
    </row>
    <row r="224" spans="1:7" x14ac:dyDescent="0.25">
      <c r="A224" t="s">
        <v>8</v>
      </c>
      <c r="B224" s="3">
        <v>44958</v>
      </c>
      <c r="C224" s="9">
        <v>679.86</v>
      </c>
      <c r="D224">
        <v>1302</v>
      </c>
      <c r="E224" s="8">
        <v>1.9151001676815815</v>
      </c>
      <c r="F224" s="7">
        <v>0.5221658986175115</v>
      </c>
      <c r="G224">
        <v>2023</v>
      </c>
    </row>
    <row r="225" spans="1:7" x14ac:dyDescent="0.25">
      <c r="A225" t="s">
        <v>8</v>
      </c>
      <c r="B225" s="3">
        <v>44986</v>
      </c>
      <c r="C225" s="9">
        <v>654.57000000000005</v>
      </c>
      <c r="D225">
        <v>1302</v>
      </c>
      <c r="E225" s="8">
        <v>1.9890920757138273</v>
      </c>
      <c r="F225" s="7">
        <v>0.50274193548387103</v>
      </c>
      <c r="G225">
        <v>2023</v>
      </c>
    </row>
    <row r="226" spans="1:7" x14ac:dyDescent="0.25">
      <c r="A226" t="s">
        <v>8</v>
      </c>
      <c r="B226" s="3">
        <v>45017</v>
      </c>
      <c r="C226" s="9">
        <v>668.96</v>
      </c>
      <c r="D226">
        <v>1302</v>
      </c>
      <c r="E226" s="8">
        <v>1.9463047117914374</v>
      </c>
      <c r="F226" s="7">
        <v>0.51379416282642087</v>
      </c>
      <c r="G226">
        <v>2023</v>
      </c>
    </row>
    <row r="227" spans="1:7" x14ac:dyDescent="0.25">
      <c r="A227" t="s">
        <v>8</v>
      </c>
      <c r="B227" s="3">
        <v>45047</v>
      </c>
      <c r="C227" s="9">
        <v>666.82</v>
      </c>
      <c r="D227">
        <v>1320</v>
      </c>
      <c r="E227" s="8">
        <v>1.9795447047179147</v>
      </c>
      <c r="F227" s="7">
        <v>0.50516666666666665</v>
      </c>
      <c r="G227">
        <v>2023</v>
      </c>
    </row>
    <row r="228" spans="1:7" x14ac:dyDescent="0.25">
      <c r="A228" t="s">
        <v>8</v>
      </c>
      <c r="B228" s="3">
        <v>45078</v>
      </c>
      <c r="C228" s="9">
        <v>656.02</v>
      </c>
      <c r="D228">
        <v>1320</v>
      </c>
      <c r="E228" s="8">
        <v>2.0121337764092559</v>
      </c>
      <c r="F228" s="7">
        <v>0.49698484848484847</v>
      </c>
      <c r="G228">
        <v>2023</v>
      </c>
    </row>
    <row r="229" spans="1:7" x14ac:dyDescent="0.25">
      <c r="A229" t="s">
        <v>8</v>
      </c>
      <c r="B229" s="3">
        <v>45108</v>
      </c>
      <c r="C229" s="9">
        <v>652.78</v>
      </c>
      <c r="D229">
        <v>1320</v>
      </c>
      <c r="E229" s="8">
        <v>2.0221207757590611</v>
      </c>
      <c r="F229" s="7">
        <v>0.49453030303030299</v>
      </c>
      <c r="G229">
        <v>2023</v>
      </c>
    </row>
    <row r="230" spans="1:7" x14ac:dyDescent="0.25">
      <c r="A230" t="s">
        <v>8</v>
      </c>
      <c r="B230" s="3">
        <v>45139</v>
      </c>
      <c r="C230" s="9">
        <v>646.02</v>
      </c>
      <c r="D230">
        <v>1320</v>
      </c>
      <c r="E230" s="8">
        <v>2.0432803937958579</v>
      </c>
      <c r="F230" s="7">
        <v>0.4894090909090909</v>
      </c>
      <c r="G230">
        <v>2023</v>
      </c>
    </row>
    <row r="231" spans="1:7" x14ac:dyDescent="0.25">
      <c r="A231" t="s">
        <v>8</v>
      </c>
      <c r="B231" s="3">
        <v>45170</v>
      </c>
      <c r="C231" s="9">
        <v>633.78</v>
      </c>
      <c r="D231">
        <v>1320</v>
      </c>
      <c r="E231" s="8">
        <v>2.0827416453658998</v>
      </c>
      <c r="F231" s="7">
        <v>0.48013636363636364</v>
      </c>
      <c r="G231">
        <v>2023</v>
      </c>
    </row>
    <row r="232" spans="1:7" x14ac:dyDescent="0.25">
      <c r="A232" t="s">
        <v>8</v>
      </c>
      <c r="B232" s="3">
        <v>45200</v>
      </c>
      <c r="C232" s="9">
        <v>627.72</v>
      </c>
      <c r="D232">
        <v>1320</v>
      </c>
      <c r="E232" s="8">
        <v>2.1028484037468935</v>
      </c>
      <c r="F232" s="7">
        <v>0.47554545454545455</v>
      </c>
      <c r="G232">
        <v>2023</v>
      </c>
    </row>
    <row r="233" spans="1:7" x14ac:dyDescent="0.25">
      <c r="A233" t="s">
        <v>8</v>
      </c>
      <c r="B233" s="3">
        <v>45231</v>
      </c>
      <c r="C233" s="9">
        <v>639.67999999999995</v>
      </c>
      <c r="D233">
        <v>1320</v>
      </c>
      <c r="E233" s="8">
        <v>2.0635317658829417</v>
      </c>
      <c r="F233" s="7">
        <v>0.4846060606060606</v>
      </c>
      <c r="G233">
        <v>2023</v>
      </c>
    </row>
    <row r="234" spans="1:7" x14ac:dyDescent="0.25">
      <c r="A234" t="s">
        <v>8</v>
      </c>
      <c r="B234" s="3">
        <v>45261</v>
      </c>
      <c r="C234" s="9">
        <v>656.29</v>
      </c>
      <c r="D234">
        <v>1320</v>
      </c>
      <c r="E234" s="8">
        <v>2.0113059775404167</v>
      </c>
      <c r="F234" s="7">
        <v>0.49718939393939393</v>
      </c>
      <c r="G234">
        <v>2023</v>
      </c>
    </row>
    <row r="235" spans="1:7" x14ac:dyDescent="0.25">
      <c r="A235" t="s">
        <v>8</v>
      </c>
      <c r="B235" s="3">
        <v>45292</v>
      </c>
      <c r="C235" s="9">
        <v>724.73</v>
      </c>
      <c r="D235">
        <v>1412</v>
      </c>
      <c r="E235" s="8">
        <v>1.9483117850785809</v>
      </c>
      <c r="F235" s="7">
        <v>0.51326487252124642</v>
      </c>
      <c r="G235">
        <v>2024</v>
      </c>
    </row>
    <row r="236" spans="1:7" x14ac:dyDescent="0.25">
      <c r="A236" t="s">
        <v>8</v>
      </c>
      <c r="B236" s="3">
        <v>45323</v>
      </c>
      <c r="C236" s="9">
        <v>727.46</v>
      </c>
      <c r="D236">
        <v>1412</v>
      </c>
      <c r="E236" s="8">
        <v>1.9410001924504439</v>
      </c>
      <c r="F236" s="7">
        <v>0.51519830028328617</v>
      </c>
      <c r="G236">
        <v>2024</v>
      </c>
    </row>
    <row r="237" spans="1:7" x14ac:dyDescent="0.25">
      <c r="A237" t="s">
        <v>8</v>
      </c>
      <c r="B237" s="3">
        <v>45352</v>
      </c>
      <c r="C237" s="9">
        <v>712.51</v>
      </c>
      <c r="D237">
        <v>1412</v>
      </c>
      <c r="E237" s="8">
        <v>1.981726572258635</v>
      </c>
      <c r="F237" s="7">
        <v>0.50461048158640232</v>
      </c>
      <c r="G237">
        <v>2024</v>
      </c>
    </row>
    <row r="238" spans="1:7" x14ac:dyDescent="0.25">
      <c r="A238" t="s">
        <v>8</v>
      </c>
      <c r="B238" s="3">
        <v>45383</v>
      </c>
      <c r="C238" s="9">
        <v>712.7</v>
      </c>
      <c r="D238">
        <v>1412</v>
      </c>
      <c r="E238" s="8">
        <v>1.9811982601375051</v>
      </c>
      <c r="F238" s="7">
        <v>0.50474504249291785</v>
      </c>
      <c r="G238">
        <v>2024</v>
      </c>
    </row>
    <row r="239" spans="1:7" x14ac:dyDescent="0.25">
      <c r="A239" t="s">
        <v>8</v>
      </c>
      <c r="B239" s="3">
        <v>45413</v>
      </c>
      <c r="C239" s="9">
        <v>693.39</v>
      </c>
      <c r="D239">
        <v>1412</v>
      </c>
      <c r="E239" s="8">
        <v>2.0363720272862316</v>
      </c>
      <c r="F239" s="7">
        <v>0.49106940509915015</v>
      </c>
      <c r="G239">
        <v>2024</v>
      </c>
    </row>
    <row r="240" spans="1:7" x14ac:dyDescent="0.25">
      <c r="A240" t="s">
        <v>8</v>
      </c>
      <c r="B240" s="3">
        <v>45444</v>
      </c>
      <c r="C240" s="9">
        <v>701.55</v>
      </c>
      <c r="D240">
        <v>1412</v>
      </c>
      <c r="E240" s="8">
        <v>2.0126861948542514</v>
      </c>
      <c r="F240" s="7">
        <v>0.49684844192634559</v>
      </c>
      <c r="G240">
        <v>2024</v>
      </c>
    </row>
    <row r="241" spans="1:7" x14ac:dyDescent="0.25">
      <c r="A241" t="s">
        <v>8</v>
      </c>
      <c r="B241" s="3">
        <v>45474</v>
      </c>
      <c r="C241" s="9">
        <v>656.69</v>
      </c>
      <c r="D241">
        <v>1412</v>
      </c>
      <c r="E241" s="8">
        <v>2.1501774048637863</v>
      </c>
      <c r="F241" s="7">
        <v>0.46507790368271956</v>
      </c>
      <c r="G241">
        <v>2024</v>
      </c>
    </row>
    <row r="242" spans="1:7" x14ac:dyDescent="0.25">
      <c r="A242" t="s">
        <v>8</v>
      </c>
      <c r="B242" s="3">
        <v>45505</v>
      </c>
      <c r="C242" s="9">
        <v>655.25</v>
      </c>
      <c r="D242">
        <v>1412</v>
      </c>
      <c r="E242" s="8">
        <v>2.1549027088897366</v>
      </c>
      <c r="F242" s="7">
        <v>0.46405807365439095</v>
      </c>
      <c r="G242">
        <v>2024</v>
      </c>
    </row>
    <row r="243" spans="1:7" x14ac:dyDescent="0.25">
      <c r="A243" t="s">
        <v>8</v>
      </c>
      <c r="B243" s="3">
        <v>45536</v>
      </c>
      <c r="C243" s="9">
        <v>651.44000000000005</v>
      </c>
      <c r="D243">
        <v>1412</v>
      </c>
      <c r="E243" s="8">
        <v>2.1675058332309955</v>
      </c>
      <c r="F243" s="7">
        <v>0.46135977337110484</v>
      </c>
      <c r="G243">
        <v>2024</v>
      </c>
    </row>
    <row r="244" spans="1:7" x14ac:dyDescent="0.25">
      <c r="A244" t="s">
        <v>8</v>
      </c>
      <c r="B244" s="3">
        <v>45566</v>
      </c>
      <c r="C244" s="9">
        <v>678.07</v>
      </c>
      <c r="D244">
        <v>1412</v>
      </c>
      <c r="E244" s="8">
        <v>2.0823808751308861</v>
      </c>
      <c r="F244" s="7">
        <v>0.48021954674220968</v>
      </c>
      <c r="G244">
        <v>2024</v>
      </c>
    </row>
    <row r="245" spans="1:7" x14ac:dyDescent="0.25">
      <c r="A245" t="s">
        <v>8</v>
      </c>
      <c r="B245" s="3">
        <v>45597</v>
      </c>
      <c r="C245" s="9">
        <v>686.9</v>
      </c>
      <c r="D245">
        <v>1412</v>
      </c>
      <c r="E245" s="8">
        <v>2.0556121706216337</v>
      </c>
      <c r="F245" s="7">
        <v>0.48647308781869686</v>
      </c>
      <c r="G245">
        <v>2024</v>
      </c>
    </row>
    <row r="246" spans="1:7" x14ac:dyDescent="0.25">
      <c r="A246" t="s">
        <v>8</v>
      </c>
      <c r="B246" s="3">
        <v>45627</v>
      </c>
      <c r="C246" s="9">
        <v>694.77</v>
      </c>
      <c r="D246">
        <v>1412</v>
      </c>
      <c r="E246" s="8">
        <v>2.0323272449875498</v>
      </c>
      <c r="F246" s="7">
        <v>0.49204674220963174</v>
      </c>
      <c r="G246">
        <v>2024</v>
      </c>
    </row>
    <row r="247" spans="1:7" x14ac:dyDescent="0.25">
      <c r="A247" t="s">
        <v>8</v>
      </c>
      <c r="B247" s="3">
        <v>45658</v>
      </c>
      <c r="C247" s="9">
        <v>717.51</v>
      </c>
      <c r="D247">
        <v>1518</v>
      </c>
      <c r="E247" s="8">
        <v>2.115649956098173</v>
      </c>
      <c r="F247" s="7">
        <v>0.47266798418972333</v>
      </c>
      <c r="G247">
        <v>2025</v>
      </c>
    </row>
    <row r="248" spans="1:7" x14ac:dyDescent="0.25">
      <c r="A248" t="s">
        <v>8</v>
      </c>
      <c r="B248" s="3">
        <v>45689</v>
      </c>
      <c r="C248" s="9">
        <v>726.01</v>
      </c>
      <c r="D248">
        <v>1518</v>
      </c>
      <c r="E248" s="8">
        <v>2.0908802909050839</v>
      </c>
      <c r="F248" s="7">
        <v>0.47826745718050068</v>
      </c>
      <c r="G248">
        <v>2025</v>
      </c>
    </row>
    <row r="249" spans="1:7" x14ac:dyDescent="0.25">
      <c r="A249" t="s">
        <v>8</v>
      </c>
      <c r="B249" s="3">
        <v>45717</v>
      </c>
      <c r="C249" s="9">
        <v>744.1</v>
      </c>
      <c r="D249">
        <v>1518</v>
      </c>
      <c r="E249" s="8">
        <v>2.0400483805940062</v>
      </c>
      <c r="F249" s="7">
        <v>0.49018445322793153</v>
      </c>
      <c r="G249">
        <v>2025</v>
      </c>
    </row>
    <row r="250" spans="1:7" x14ac:dyDescent="0.25">
      <c r="A250" t="s">
        <v>8</v>
      </c>
      <c r="B250" s="3">
        <v>45748</v>
      </c>
      <c r="C250" s="9">
        <v>752.6</v>
      </c>
      <c r="D250">
        <v>1518</v>
      </c>
      <c r="E250" s="8">
        <v>2.0170077066170609</v>
      </c>
      <c r="F250" s="7">
        <v>0.49578392621870881</v>
      </c>
      <c r="G250">
        <v>2025</v>
      </c>
    </row>
    <row r="251" spans="1:7" x14ac:dyDescent="0.25">
      <c r="A251" t="s">
        <v>8</v>
      </c>
      <c r="B251" s="3">
        <v>45778</v>
      </c>
      <c r="C251" s="9">
        <v>733.76</v>
      </c>
      <c r="D251">
        <v>1518</v>
      </c>
      <c r="E251" s="8">
        <v>2.0687963366768427</v>
      </c>
      <c r="F251" s="7">
        <v>0.48337285902503291</v>
      </c>
      <c r="G251">
        <v>2025</v>
      </c>
    </row>
    <row r="252" spans="1:7" x14ac:dyDescent="0.25">
      <c r="A252" t="s">
        <v>8</v>
      </c>
      <c r="B252" s="3">
        <v>45809</v>
      </c>
      <c r="C252" s="9">
        <v>726.63</v>
      </c>
      <c r="D252">
        <v>1518</v>
      </c>
      <c r="E252" s="8">
        <v>2.0890962388010403</v>
      </c>
      <c r="F252" s="7">
        <v>0.47867588932806326</v>
      </c>
      <c r="G252">
        <v>2025</v>
      </c>
    </row>
    <row r="253" spans="1:7" x14ac:dyDescent="0.25">
      <c r="A253" t="s">
        <v>7</v>
      </c>
      <c r="B253" s="3">
        <v>42005</v>
      </c>
      <c r="C253" s="9">
        <v>310.77999999999997</v>
      </c>
      <c r="D253">
        <v>788</v>
      </c>
      <c r="E253" s="8">
        <v>2.5355556985649015</v>
      </c>
      <c r="F253" s="7">
        <v>0.39439086294416242</v>
      </c>
      <c r="G253">
        <v>2015</v>
      </c>
    </row>
    <row r="254" spans="1:7" x14ac:dyDescent="0.25">
      <c r="A254" t="s">
        <v>7</v>
      </c>
      <c r="B254" s="3">
        <v>42036</v>
      </c>
      <c r="C254" s="9">
        <v>314.89</v>
      </c>
      <c r="D254">
        <v>788</v>
      </c>
      <c r="E254" s="8">
        <v>2.5024611769189242</v>
      </c>
      <c r="F254" s="7">
        <v>0.39960659898477158</v>
      </c>
      <c r="G254">
        <v>2015</v>
      </c>
    </row>
    <row r="255" spans="1:7" x14ac:dyDescent="0.25">
      <c r="A255" t="s">
        <v>7</v>
      </c>
      <c r="B255" s="3">
        <v>42064</v>
      </c>
      <c r="C255" s="9">
        <v>320.02</v>
      </c>
      <c r="D255">
        <v>788</v>
      </c>
      <c r="E255" s="8">
        <v>2.4623461033685397</v>
      </c>
      <c r="F255" s="7">
        <v>0.40611675126903551</v>
      </c>
      <c r="G255">
        <v>2015</v>
      </c>
    </row>
    <row r="256" spans="1:7" x14ac:dyDescent="0.25">
      <c r="A256" t="s">
        <v>7</v>
      </c>
      <c r="B256" s="3">
        <v>42095</v>
      </c>
      <c r="C256" s="9">
        <v>322.81</v>
      </c>
      <c r="D256">
        <v>788</v>
      </c>
      <c r="E256" s="8">
        <v>2.4410644032093183</v>
      </c>
      <c r="F256" s="7">
        <v>0.40965736040609135</v>
      </c>
      <c r="G256">
        <v>2015</v>
      </c>
    </row>
    <row r="257" spans="1:7" x14ac:dyDescent="0.25">
      <c r="A257" t="s">
        <v>7</v>
      </c>
      <c r="B257" s="3">
        <v>42125</v>
      </c>
      <c r="C257" s="9">
        <v>338.92</v>
      </c>
      <c r="D257">
        <v>788</v>
      </c>
      <c r="E257" s="8">
        <v>2.3250324560368227</v>
      </c>
      <c r="F257" s="7">
        <v>0.43010152284263964</v>
      </c>
      <c r="G257">
        <v>2015</v>
      </c>
    </row>
    <row r="258" spans="1:7" x14ac:dyDescent="0.25">
      <c r="A258" t="s">
        <v>7</v>
      </c>
      <c r="B258" s="3">
        <v>42156</v>
      </c>
      <c r="C258" s="9">
        <v>356.24</v>
      </c>
      <c r="D258">
        <v>788</v>
      </c>
      <c r="E258" s="8">
        <v>2.211991915562542</v>
      </c>
      <c r="F258" s="7">
        <v>0.45208121827411168</v>
      </c>
      <c r="G258">
        <v>2015</v>
      </c>
    </row>
    <row r="259" spans="1:7" x14ac:dyDescent="0.25">
      <c r="A259" t="s">
        <v>7</v>
      </c>
      <c r="B259" s="3">
        <v>42186</v>
      </c>
      <c r="C259" s="9">
        <v>339.27</v>
      </c>
      <c r="D259">
        <v>788</v>
      </c>
      <c r="E259" s="8">
        <v>2.3226338904117667</v>
      </c>
      <c r="F259" s="7">
        <v>0.4305456852791878</v>
      </c>
      <c r="G259">
        <v>2015</v>
      </c>
    </row>
    <row r="260" spans="1:7" x14ac:dyDescent="0.25">
      <c r="A260" t="s">
        <v>7</v>
      </c>
      <c r="B260" s="3">
        <v>42217</v>
      </c>
      <c r="C260" s="9">
        <v>334.45</v>
      </c>
      <c r="D260">
        <v>788</v>
      </c>
      <c r="E260" s="8">
        <v>2.3561070414112724</v>
      </c>
      <c r="F260" s="7">
        <v>0.42442893401015225</v>
      </c>
      <c r="G260">
        <v>2015</v>
      </c>
    </row>
    <row r="261" spans="1:7" x14ac:dyDescent="0.25">
      <c r="A261" t="s">
        <v>7</v>
      </c>
      <c r="B261" s="3">
        <v>42248</v>
      </c>
      <c r="C261" s="9">
        <v>319.2</v>
      </c>
      <c r="D261">
        <v>788</v>
      </c>
      <c r="E261" s="8">
        <v>2.4686716791979952</v>
      </c>
      <c r="F261" s="7">
        <v>0.40507614213197968</v>
      </c>
      <c r="G261">
        <v>2015</v>
      </c>
    </row>
    <row r="262" spans="1:7" x14ac:dyDescent="0.25">
      <c r="A262" t="s">
        <v>7</v>
      </c>
      <c r="B262" s="3">
        <v>42278</v>
      </c>
      <c r="C262" s="9">
        <v>321.72000000000003</v>
      </c>
      <c r="D262">
        <v>788</v>
      </c>
      <c r="E262" s="8">
        <v>2.4493348253139375</v>
      </c>
      <c r="F262" s="7">
        <v>0.40827411167512695</v>
      </c>
      <c r="G262">
        <v>2015</v>
      </c>
    </row>
    <row r="263" spans="1:7" x14ac:dyDescent="0.25">
      <c r="A263" t="s">
        <v>7</v>
      </c>
      <c r="B263" s="3">
        <v>42309</v>
      </c>
      <c r="C263" s="9">
        <v>325.69</v>
      </c>
      <c r="D263">
        <v>788</v>
      </c>
      <c r="E263" s="8">
        <v>2.4194786453375912</v>
      </c>
      <c r="F263" s="7">
        <v>0.41331218274111675</v>
      </c>
      <c r="G263">
        <v>2015</v>
      </c>
    </row>
    <row r="264" spans="1:7" x14ac:dyDescent="0.25">
      <c r="A264" t="s">
        <v>7</v>
      </c>
      <c r="B264" s="3">
        <v>42339</v>
      </c>
      <c r="C264" s="9">
        <v>351.38</v>
      </c>
      <c r="D264">
        <v>788</v>
      </c>
      <c r="E264" s="8">
        <v>2.24258637372645</v>
      </c>
      <c r="F264" s="7">
        <v>0.44591370558375631</v>
      </c>
      <c r="G264">
        <v>2015</v>
      </c>
    </row>
    <row r="265" spans="1:7" x14ac:dyDescent="0.25">
      <c r="A265" t="s">
        <v>7</v>
      </c>
      <c r="B265" s="3">
        <v>42370</v>
      </c>
      <c r="C265" s="9">
        <v>374.5</v>
      </c>
      <c r="D265">
        <v>880</v>
      </c>
      <c r="E265" s="8">
        <v>2.3497997329773033</v>
      </c>
      <c r="F265" s="7">
        <v>0.42556818181818185</v>
      </c>
      <c r="G265">
        <v>2016</v>
      </c>
    </row>
    <row r="266" spans="1:7" x14ac:dyDescent="0.25">
      <c r="A266" t="s">
        <v>7</v>
      </c>
      <c r="B266" s="3">
        <v>42401</v>
      </c>
      <c r="C266" s="9">
        <v>406.86</v>
      </c>
      <c r="D266">
        <v>880</v>
      </c>
      <c r="E266" s="8">
        <v>2.1629061593668584</v>
      </c>
      <c r="F266" s="7">
        <v>0.46234090909090908</v>
      </c>
      <c r="G266">
        <v>2016</v>
      </c>
    </row>
    <row r="267" spans="1:7" x14ac:dyDescent="0.25">
      <c r="A267" t="s">
        <v>7</v>
      </c>
      <c r="B267" s="3">
        <v>42430</v>
      </c>
      <c r="C267" s="9">
        <v>413.87</v>
      </c>
      <c r="D267">
        <v>880</v>
      </c>
      <c r="E267" s="8">
        <v>2.1262715345398315</v>
      </c>
      <c r="F267" s="7">
        <v>0.47030681818181819</v>
      </c>
      <c r="G267">
        <v>2016</v>
      </c>
    </row>
    <row r="268" spans="1:7" x14ac:dyDescent="0.25">
      <c r="A268" t="s">
        <v>7</v>
      </c>
      <c r="B268" s="3">
        <v>42461</v>
      </c>
      <c r="C268" s="9">
        <v>412.51</v>
      </c>
      <c r="D268">
        <v>880</v>
      </c>
      <c r="E268" s="8">
        <v>2.1332816174153355</v>
      </c>
      <c r="F268" s="7">
        <v>0.46876136363636361</v>
      </c>
      <c r="G268">
        <v>2016</v>
      </c>
    </row>
    <row r="269" spans="1:7" x14ac:dyDescent="0.25">
      <c r="A269" t="s">
        <v>7</v>
      </c>
      <c r="B269" s="3">
        <v>42491</v>
      </c>
      <c r="C269" s="9">
        <v>402.97</v>
      </c>
      <c r="D269">
        <v>880</v>
      </c>
      <c r="E269" s="8">
        <v>2.1837853934536069</v>
      </c>
      <c r="F269" s="7">
        <v>0.4579204545454546</v>
      </c>
      <c r="G269">
        <v>2016</v>
      </c>
    </row>
    <row r="270" spans="1:7" x14ac:dyDescent="0.25">
      <c r="A270" t="s">
        <v>7</v>
      </c>
      <c r="B270" s="3">
        <v>42522</v>
      </c>
      <c r="C270" s="9">
        <v>419.28</v>
      </c>
      <c r="D270">
        <v>880</v>
      </c>
      <c r="E270" s="8">
        <v>2.0988360999809199</v>
      </c>
      <c r="F270" s="7">
        <v>0.47645454545454541</v>
      </c>
      <c r="G270">
        <v>2016</v>
      </c>
    </row>
    <row r="271" spans="1:7" x14ac:dyDescent="0.25">
      <c r="A271" t="s">
        <v>7</v>
      </c>
      <c r="B271" s="3">
        <v>42552</v>
      </c>
      <c r="C271" s="9">
        <v>416.75</v>
      </c>
      <c r="D271">
        <v>880</v>
      </c>
      <c r="E271" s="8">
        <v>2.1115776844631076</v>
      </c>
      <c r="F271" s="7">
        <v>0.47357954545454545</v>
      </c>
      <c r="G271">
        <v>2016</v>
      </c>
    </row>
    <row r="272" spans="1:7" x14ac:dyDescent="0.25">
      <c r="A272" t="s">
        <v>7</v>
      </c>
      <c r="B272" s="3">
        <v>42583</v>
      </c>
      <c r="C272" s="9">
        <v>421.33</v>
      </c>
      <c r="D272">
        <v>880</v>
      </c>
      <c r="E272" s="8">
        <v>2.0886241188616999</v>
      </c>
      <c r="F272" s="7">
        <v>0.47878409090909091</v>
      </c>
      <c r="G272">
        <v>2016</v>
      </c>
    </row>
    <row r="273" spans="1:7" x14ac:dyDescent="0.25">
      <c r="A273" t="s">
        <v>7</v>
      </c>
      <c r="B273" s="3">
        <v>42614</v>
      </c>
      <c r="C273" s="9">
        <v>424.43</v>
      </c>
      <c r="D273">
        <v>880</v>
      </c>
      <c r="E273" s="8">
        <v>2.0733689889970077</v>
      </c>
      <c r="F273" s="7">
        <v>0.4823068181818182</v>
      </c>
      <c r="G273">
        <v>2016</v>
      </c>
    </row>
    <row r="274" spans="1:7" x14ac:dyDescent="0.25">
      <c r="A274" t="s">
        <v>7</v>
      </c>
      <c r="B274" s="3">
        <v>42644</v>
      </c>
      <c r="C274" s="9">
        <v>425.03</v>
      </c>
      <c r="D274">
        <v>880</v>
      </c>
      <c r="E274" s="8">
        <v>2.0704420864409574</v>
      </c>
      <c r="F274" s="7">
        <v>0.48298863636363631</v>
      </c>
      <c r="G274">
        <v>2016</v>
      </c>
    </row>
    <row r="275" spans="1:7" x14ac:dyDescent="0.25">
      <c r="A275" t="s">
        <v>7</v>
      </c>
      <c r="B275" s="3">
        <v>42675</v>
      </c>
      <c r="C275" s="9">
        <v>415.86</v>
      </c>
      <c r="D275">
        <v>880</v>
      </c>
      <c r="E275" s="8">
        <v>2.1160967633338141</v>
      </c>
      <c r="F275" s="7">
        <v>0.47256818181818183</v>
      </c>
      <c r="G275">
        <v>2016</v>
      </c>
    </row>
    <row r="276" spans="1:7" x14ac:dyDescent="0.25">
      <c r="A276" t="s">
        <v>7</v>
      </c>
      <c r="B276" s="3">
        <v>42705</v>
      </c>
      <c r="C276" s="9">
        <v>410.71</v>
      </c>
      <c r="D276">
        <v>880</v>
      </c>
      <c r="E276" s="8">
        <v>2.1426310535414284</v>
      </c>
      <c r="F276" s="7">
        <v>0.46671590909090904</v>
      </c>
      <c r="G276">
        <v>2016</v>
      </c>
    </row>
    <row r="277" spans="1:7" x14ac:dyDescent="0.25">
      <c r="A277" t="s">
        <v>7</v>
      </c>
      <c r="B277" s="3">
        <v>42736</v>
      </c>
      <c r="C277" s="9">
        <v>406.4</v>
      </c>
      <c r="D277">
        <v>937</v>
      </c>
      <c r="E277" s="8">
        <v>2.3056102362204727</v>
      </c>
      <c r="F277" s="7">
        <v>0.43372465314834574</v>
      </c>
      <c r="G277">
        <v>2017</v>
      </c>
    </row>
    <row r="278" spans="1:7" x14ac:dyDescent="0.25">
      <c r="A278" t="s">
        <v>7</v>
      </c>
      <c r="B278" s="3">
        <v>42767</v>
      </c>
      <c r="C278" s="9">
        <v>395.57</v>
      </c>
      <c r="D278">
        <v>937</v>
      </c>
      <c r="E278" s="8">
        <v>2.3687337260156229</v>
      </c>
      <c r="F278" s="7">
        <v>0.42216648879402346</v>
      </c>
      <c r="G278">
        <v>2017</v>
      </c>
    </row>
    <row r="279" spans="1:7" x14ac:dyDescent="0.25">
      <c r="A279" t="s">
        <v>7</v>
      </c>
      <c r="B279" s="3">
        <v>42795</v>
      </c>
      <c r="C279" s="9">
        <v>394.21</v>
      </c>
      <c r="D279">
        <v>937</v>
      </c>
      <c r="E279" s="8">
        <v>2.3769057101544862</v>
      </c>
      <c r="F279" s="7">
        <v>0.42071504802561366</v>
      </c>
      <c r="G279">
        <v>2017</v>
      </c>
    </row>
    <row r="280" spans="1:7" x14ac:dyDescent="0.25">
      <c r="A280" t="s">
        <v>7</v>
      </c>
      <c r="B280" s="3">
        <v>42826</v>
      </c>
      <c r="C280" s="9">
        <v>398.12</v>
      </c>
      <c r="D280">
        <v>937</v>
      </c>
      <c r="E280" s="8">
        <v>2.3535617401788405</v>
      </c>
      <c r="F280" s="7">
        <v>0.42488794023479187</v>
      </c>
      <c r="G280">
        <v>2017</v>
      </c>
    </row>
    <row r="281" spans="1:7" x14ac:dyDescent="0.25">
      <c r="A281" t="s">
        <v>7</v>
      </c>
      <c r="B281" s="3">
        <v>42856</v>
      </c>
      <c r="C281" s="9">
        <v>402.76</v>
      </c>
      <c r="D281">
        <v>937</v>
      </c>
      <c r="E281" s="8">
        <v>2.3264475121660544</v>
      </c>
      <c r="F281" s="7">
        <v>0.42983991462113125</v>
      </c>
      <c r="G281">
        <v>2017</v>
      </c>
    </row>
    <row r="282" spans="1:7" x14ac:dyDescent="0.25">
      <c r="A282" t="s">
        <v>7</v>
      </c>
      <c r="B282" s="3">
        <v>42887</v>
      </c>
      <c r="C282" s="9">
        <v>393.01</v>
      </c>
      <c r="D282">
        <v>937</v>
      </c>
      <c r="E282" s="8">
        <v>2.3841632528434391</v>
      </c>
      <c r="F282" s="7">
        <v>0.4194343649946638</v>
      </c>
      <c r="G282">
        <v>2017</v>
      </c>
    </row>
    <row r="283" spans="1:7" x14ac:dyDescent="0.25">
      <c r="A283" t="s">
        <v>7</v>
      </c>
      <c r="B283" s="3">
        <v>42917</v>
      </c>
      <c r="C283" s="9">
        <v>388.67</v>
      </c>
      <c r="D283">
        <v>937</v>
      </c>
      <c r="E283" s="8">
        <v>2.4107854992667299</v>
      </c>
      <c r="F283" s="7">
        <v>0.41480256136606192</v>
      </c>
      <c r="G283">
        <v>2017</v>
      </c>
    </row>
    <row r="284" spans="1:7" x14ac:dyDescent="0.25">
      <c r="A284" t="s">
        <v>7</v>
      </c>
      <c r="B284" s="3">
        <v>42948</v>
      </c>
      <c r="C284" s="9">
        <v>375.82</v>
      </c>
      <c r="D284">
        <v>937</v>
      </c>
      <c r="E284" s="8">
        <v>2.4932148368900005</v>
      </c>
      <c r="F284" s="7">
        <v>0.40108858057630736</v>
      </c>
      <c r="G284">
        <v>2017</v>
      </c>
    </row>
    <row r="285" spans="1:7" x14ac:dyDescent="0.25">
      <c r="A285" t="s">
        <v>7</v>
      </c>
      <c r="B285" s="3">
        <v>42979</v>
      </c>
      <c r="C285" s="9">
        <v>369.89</v>
      </c>
      <c r="D285">
        <v>937</v>
      </c>
      <c r="E285" s="8">
        <v>2.5331855416475171</v>
      </c>
      <c r="F285" s="7">
        <v>0.39475987193169687</v>
      </c>
      <c r="G285">
        <v>2017</v>
      </c>
    </row>
    <row r="286" spans="1:7" x14ac:dyDescent="0.25">
      <c r="A286" t="s">
        <v>7</v>
      </c>
      <c r="B286" s="3">
        <v>43009</v>
      </c>
      <c r="C286" s="9">
        <v>367.03</v>
      </c>
      <c r="D286">
        <v>937</v>
      </c>
      <c r="E286" s="8">
        <v>2.5529248290330493</v>
      </c>
      <c r="F286" s="7">
        <v>0.39170757737459977</v>
      </c>
      <c r="G286">
        <v>2017</v>
      </c>
    </row>
    <row r="287" spans="1:7" x14ac:dyDescent="0.25">
      <c r="A287" t="s">
        <v>7</v>
      </c>
      <c r="B287" s="3">
        <v>43040</v>
      </c>
      <c r="C287" s="9">
        <v>358.74</v>
      </c>
      <c r="D287">
        <v>937</v>
      </c>
      <c r="E287" s="8">
        <v>2.6119194960138259</v>
      </c>
      <c r="F287" s="7">
        <v>0.38286019210245464</v>
      </c>
      <c r="G287">
        <v>2017</v>
      </c>
    </row>
    <row r="288" spans="1:7" x14ac:dyDescent="0.25">
      <c r="A288" t="s">
        <v>7</v>
      </c>
      <c r="B288" s="3">
        <v>43070</v>
      </c>
      <c r="C288" s="9">
        <v>356.67</v>
      </c>
      <c r="D288">
        <v>937</v>
      </c>
      <c r="E288" s="8">
        <v>2.6270782516051252</v>
      </c>
      <c r="F288" s="7">
        <v>0.38065101387406619</v>
      </c>
      <c r="G288">
        <v>2017</v>
      </c>
    </row>
    <row r="289" spans="1:7" x14ac:dyDescent="0.25">
      <c r="A289" t="s">
        <v>7</v>
      </c>
      <c r="B289" s="3">
        <v>43101</v>
      </c>
      <c r="C289" s="9">
        <v>366.99</v>
      </c>
      <c r="D289">
        <v>954</v>
      </c>
      <c r="E289" s="8">
        <v>2.5995258726395813</v>
      </c>
      <c r="F289" s="7">
        <v>0.38468553459119498</v>
      </c>
      <c r="G289">
        <v>2018</v>
      </c>
    </row>
    <row r="290" spans="1:7" x14ac:dyDescent="0.25">
      <c r="A290" t="s">
        <v>7</v>
      </c>
      <c r="B290" s="3">
        <v>43132</v>
      </c>
      <c r="C290" s="9">
        <v>379.36</v>
      </c>
      <c r="D290">
        <v>954</v>
      </c>
      <c r="E290" s="8">
        <v>2.5147617039223955</v>
      </c>
      <c r="F290" s="7">
        <v>0.3976519916142558</v>
      </c>
      <c r="G290">
        <v>2018</v>
      </c>
    </row>
    <row r="291" spans="1:7" x14ac:dyDescent="0.25">
      <c r="A291" t="s">
        <v>7</v>
      </c>
      <c r="B291" s="3">
        <v>43160</v>
      </c>
      <c r="C291" s="9">
        <v>367.06</v>
      </c>
      <c r="D291">
        <v>954</v>
      </c>
      <c r="E291" s="8">
        <v>2.5990301313136817</v>
      </c>
      <c r="F291" s="7">
        <v>0.38475890985324945</v>
      </c>
      <c r="G291">
        <v>2018</v>
      </c>
    </row>
    <row r="292" spans="1:7" x14ac:dyDescent="0.25">
      <c r="A292" t="s">
        <v>7</v>
      </c>
      <c r="B292" s="3">
        <v>43191</v>
      </c>
      <c r="C292" s="9">
        <v>366.19</v>
      </c>
      <c r="D292">
        <v>954</v>
      </c>
      <c r="E292" s="8">
        <v>2.6052049482509081</v>
      </c>
      <c r="F292" s="7">
        <v>0.38384696016771486</v>
      </c>
      <c r="G292">
        <v>2018</v>
      </c>
    </row>
    <row r="293" spans="1:7" x14ac:dyDescent="0.25">
      <c r="A293" t="s">
        <v>7</v>
      </c>
      <c r="B293" s="3">
        <v>43221</v>
      </c>
      <c r="C293" s="9">
        <v>367.56</v>
      </c>
      <c r="D293">
        <v>954</v>
      </c>
      <c r="E293" s="8">
        <v>2.5954946131243877</v>
      </c>
      <c r="F293" s="7">
        <v>0.38528301886792454</v>
      </c>
      <c r="G293">
        <v>2018</v>
      </c>
    </row>
    <row r="294" spans="1:7" x14ac:dyDescent="0.25">
      <c r="A294" t="s">
        <v>7</v>
      </c>
      <c r="B294" s="3">
        <v>43252</v>
      </c>
      <c r="C294" s="9">
        <v>381.65</v>
      </c>
      <c r="D294">
        <v>954</v>
      </c>
      <c r="E294" s="8">
        <v>2.4996724747805583</v>
      </c>
      <c r="F294" s="7">
        <v>0.40005241090146748</v>
      </c>
      <c r="G294">
        <v>2018</v>
      </c>
    </row>
    <row r="295" spans="1:7" x14ac:dyDescent="0.25">
      <c r="A295" t="s">
        <v>7</v>
      </c>
      <c r="B295" s="3">
        <v>43282</v>
      </c>
      <c r="C295" s="9">
        <v>361.11</v>
      </c>
      <c r="D295">
        <v>954</v>
      </c>
      <c r="E295" s="8">
        <v>2.6418542826285618</v>
      </c>
      <c r="F295" s="7">
        <v>0.37852201257861634</v>
      </c>
      <c r="G295">
        <v>2018</v>
      </c>
    </row>
    <row r="296" spans="1:7" x14ac:dyDescent="0.25">
      <c r="A296" t="s">
        <v>7</v>
      </c>
      <c r="B296" s="3">
        <v>43313</v>
      </c>
      <c r="C296" s="9">
        <v>360.3</v>
      </c>
      <c r="D296">
        <v>954</v>
      </c>
      <c r="E296" s="8">
        <v>2.6477935054121566</v>
      </c>
      <c r="F296" s="7">
        <v>0.37767295597484279</v>
      </c>
      <c r="G296">
        <v>2018</v>
      </c>
    </row>
    <row r="297" spans="1:7" x14ac:dyDescent="0.25">
      <c r="A297" t="s">
        <v>7</v>
      </c>
      <c r="B297" s="3">
        <v>43344</v>
      </c>
      <c r="C297" s="9">
        <v>359.51</v>
      </c>
      <c r="D297">
        <v>954</v>
      </c>
      <c r="E297" s="8">
        <v>2.6536118605880228</v>
      </c>
      <c r="F297" s="7">
        <v>0.37684486373165615</v>
      </c>
      <c r="G297">
        <v>2018</v>
      </c>
    </row>
    <row r="298" spans="1:7" x14ac:dyDescent="0.25">
      <c r="A298" t="s">
        <v>7</v>
      </c>
      <c r="B298" s="3">
        <v>43374</v>
      </c>
      <c r="C298" s="9">
        <v>361.7</v>
      </c>
      <c r="D298">
        <v>954</v>
      </c>
      <c r="E298" s="8">
        <v>2.6375449267348632</v>
      </c>
      <c r="F298" s="7">
        <v>0.37914046121593292</v>
      </c>
      <c r="G298">
        <v>2018</v>
      </c>
    </row>
    <row r="299" spans="1:7" x14ac:dyDescent="0.25">
      <c r="A299" t="s">
        <v>7</v>
      </c>
      <c r="B299" s="3">
        <v>43405</v>
      </c>
      <c r="C299" s="9">
        <v>372.24</v>
      </c>
      <c r="D299">
        <v>954</v>
      </c>
      <c r="E299" s="8">
        <v>2.5628626692456478</v>
      </c>
      <c r="F299" s="7">
        <v>0.39018867924528305</v>
      </c>
      <c r="G299">
        <v>2018</v>
      </c>
    </row>
    <row r="300" spans="1:7" x14ac:dyDescent="0.25">
      <c r="A300" t="s">
        <v>7</v>
      </c>
      <c r="B300" s="3">
        <v>43435</v>
      </c>
      <c r="C300" s="9">
        <v>382.31</v>
      </c>
      <c r="D300">
        <v>954</v>
      </c>
      <c r="E300" s="8">
        <v>2.4953571708822682</v>
      </c>
      <c r="F300" s="7">
        <v>0.40074423480083859</v>
      </c>
      <c r="G300">
        <v>2018</v>
      </c>
    </row>
    <row r="301" spans="1:7" x14ac:dyDescent="0.25">
      <c r="A301" t="s">
        <v>7</v>
      </c>
      <c r="B301" s="3">
        <v>43466</v>
      </c>
      <c r="C301" s="9">
        <v>384.78</v>
      </c>
      <c r="D301">
        <v>998</v>
      </c>
      <c r="E301" s="8">
        <v>2.5936899007224912</v>
      </c>
      <c r="F301" s="7">
        <v>0.3855511022044088</v>
      </c>
      <c r="G301">
        <v>2019</v>
      </c>
    </row>
    <row r="302" spans="1:7" x14ac:dyDescent="0.25">
      <c r="A302" t="s">
        <v>7</v>
      </c>
      <c r="B302" s="3">
        <v>43497</v>
      </c>
      <c r="C302" s="9">
        <v>383.76</v>
      </c>
      <c r="D302">
        <v>998</v>
      </c>
      <c r="E302" s="8">
        <v>2.6005836981446739</v>
      </c>
      <c r="F302" s="7">
        <v>0.38452905811623245</v>
      </c>
      <c r="G302">
        <v>2019</v>
      </c>
    </row>
    <row r="303" spans="1:7" x14ac:dyDescent="0.25">
      <c r="A303" t="s">
        <v>7</v>
      </c>
      <c r="B303" s="3">
        <v>43525</v>
      </c>
      <c r="C303" s="9">
        <v>408.67</v>
      </c>
      <c r="D303">
        <v>998</v>
      </c>
      <c r="E303" s="8">
        <v>2.4420681723640101</v>
      </c>
      <c r="F303" s="7">
        <v>0.40948897795591183</v>
      </c>
      <c r="G303">
        <v>2019</v>
      </c>
    </row>
    <row r="304" spans="1:7" x14ac:dyDescent="0.25">
      <c r="A304" t="s">
        <v>7</v>
      </c>
      <c r="B304" s="3">
        <v>43556</v>
      </c>
      <c r="C304" s="9">
        <v>423.17</v>
      </c>
      <c r="D304">
        <v>998</v>
      </c>
      <c r="E304" s="8">
        <v>2.3583902450551788</v>
      </c>
      <c r="F304" s="7">
        <v>0.42401803607214428</v>
      </c>
      <c r="G304">
        <v>2019</v>
      </c>
    </row>
    <row r="305" spans="1:7" x14ac:dyDescent="0.25">
      <c r="A305" t="s">
        <v>7</v>
      </c>
      <c r="B305" s="3">
        <v>43586</v>
      </c>
      <c r="C305" s="9">
        <v>418.05</v>
      </c>
      <c r="D305">
        <v>998</v>
      </c>
      <c r="E305" s="8">
        <v>2.3872742494916874</v>
      </c>
      <c r="F305" s="7">
        <v>0.41888777555110224</v>
      </c>
      <c r="G305">
        <v>2019</v>
      </c>
    </row>
    <row r="306" spans="1:7" x14ac:dyDescent="0.25">
      <c r="A306" t="s">
        <v>7</v>
      </c>
      <c r="B306" s="3">
        <v>43617</v>
      </c>
      <c r="C306" s="9">
        <v>407.67</v>
      </c>
      <c r="D306">
        <v>998</v>
      </c>
      <c r="E306" s="8">
        <v>2.4480584786714745</v>
      </c>
      <c r="F306" s="7">
        <v>0.40848697394789579</v>
      </c>
      <c r="G306">
        <v>2019</v>
      </c>
    </row>
    <row r="307" spans="1:7" x14ac:dyDescent="0.25">
      <c r="A307" t="s">
        <v>7</v>
      </c>
      <c r="B307" s="3">
        <v>43647</v>
      </c>
      <c r="C307" s="9">
        <v>403.35</v>
      </c>
      <c r="D307">
        <v>998</v>
      </c>
      <c r="E307" s="8">
        <v>2.4742779223999007</v>
      </c>
      <c r="F307" s="7">
        <v>0.40415831663326657</v>
      </c>
      <c r="G307">
        <v>2019</v>
      </c>
    </row>
    <row r="308" spans="1:7" x14ac:dyDescent="0.25">
      <c r="A308" t="s">
        <v>7</v>
      </c>
      <c r="B308" s="3">
        <v>43678</v>
      </c>
      <c r="C308" s="9">
        <v>393.94</v>
      </c>
      <c r="D308">
        <v>998</v>
      </c>
      <c r="E308" s="8">
        <v>2.5333807178758185</v>
      </c>
      <c r="F308" s="7">
        <v>0.39472945891783567</v>
      </c>
      <c r="G308">
        <v>2019</v>
      </c>
    </row>
    <row r="309" spans="1:7" x14ac:dyDescent="0.25">
      <c r="A309" t="s">
        <v>7</v>
      </c>
      <c r="B309" s="3">
        <v>43709</v>
      </c>
      <c r="C309" s="9">
        <v>382.11</v>
      </c>
      <c r="D309">
        <v>998</v>
      </c>
      <c r="E309" s="8">
        <v>2.6118133521760747</v>
      </c>
      <c r="F309" s="7">
        <v>0.38287575150300601</v>
      </c>
      <c r="G309">
        <v>2019</v>
      </c>
    </row>
    <row r="310" spans="1:7" x14ac:dyDescent="0.25">
      <c r="A310" t="s">
        <v>7</v>
      </c>
      <c r="B310" s="3">
        <v>43739</v>
      </c>
      <c r="C310" s="9">
        <v>377.37</v>
      </c>
      <c r="D310">
        <v>998</v>
      </c>
      <c r="E310" s="8">
        <v>2.6446193391101569</v>
      </c>
      <c r="F310" s="7">
        <v>0.37812625250501003</v>
      </c>
      <c r="G310">
        <v>2019</v>
      </c>
    </row>
    <row r="311" spans="1:7" x14ac:dyDescent="0.25">
      <c r="A311" t="s">
        <v>7</v>
      </c>
      <c r="B311" s="3">
        <v>43770</v>
      </c>
      <c r="C311" s="9">
        <v>381.28</v>
      </c>
      <c r="D311">
        <v>998</v>
      </c>
      <c r="E311" s="8">
        <v>2.6174989509022244</v>
      </c>
      <c r="F311" s="7">
        <v>0.38204408817635266</v>
      </c>
      <c r="G311">
        <v>2019</v>
      </c>
    </row>
    <row r="312" spans="1:7" x14ac:dyDescent="0.25">
      <c r="A312" t="s">
        <v>7</v>
      </c>
      <c r="B312" s="3">
        <v>43800</v>
      </c>
      <c r="C312" s="9">
        <v>414.13</v>
      </c>
      <c r="D312">
        <v>998</v>
      </c>
      <c r="E312" s="8">
        <v>2.4098712964528048</v>
      </c>
      <c r="F312" s="7">
        <v>0.41495991983967934</v>
      </c>
      <c r="G312">
        <v>2019</v>
      </c>
    </row>
    <row r="313" spans="1:7" x14ac:dyDescent="0.25">
      <c r="A313" t="s">
        <v>7</v>
      </c>
      <c r="B313" s="3">
        <v>43831</v>
      </c>
      <c r="C313" s="9">
        <v>415.56</v>
      </c>
      <c r="D313">
        <v>1039</v>
      </c>
      <c r="E313" s="8">
        <v>2.5002406391375493</v>
      </c>
      <c r="F313" s="7">
        <v>0.39996150144369585</v>
      </c>
      <c r="G313">
        <v>2020</v>
      </c>
    </row>
    <row r="314" spans="1:7" x14ac:dyDescent="0.25">
      <c r="A314" t="s">
        <v>7</v>
      </c>
      <c r="B314" s="3">
        <v>43862</v>
      </c>
      <c r="C314" s="9">
        <v>432.95</v>
      </c>
      <c r="D314">
        <v>1045</v>
      </c>
      <c r="E314" s="8">
        <v>2.4136736343688647</v>
      </c>
      <c r="F314" s="7">
        <v>0.41430622009569379</v>
      </c>
      <c r="G314">
        <v>2020</v>
      </c>
    </row>
    <row r="315" spans="1:7" x14ac:dyDescent="0.25">
      <c r="A315" t="s">
        <v>7</v>
      </c>
      <c r="B315" s="3">
        <v>43891</v>
      </c>
      <c r="C315" s="9">
        <v>418.8</v>
      </c>
      <c r="D315">
        <v>1045</v>
      </c>
      <c r="E315" s="8">
        <v>2.4952244508118433</v>
      </c>
      <c r="F315" s="7">
        <v>0.40076555023923444</v>
      </c>
      <c r="G315">
        <v>2020</v>
      </c>
    </row>
    <row r="316" spans="1:7" x14ac:dyDescent="0.25">
      <c r="A316" t="s">
        <v>7</v>
      </c>
      <c r="B316" s="3">
        <v>43922</v>
      </c>
      <c r="C316" s="9">
        <v>434.19</v>
      </c>
      <c r="D316">
        <v>1045</v>
      </c>
      <c r="E316" s="8">
        <v>2.4067804417420944</v>
      </c>
      <c r="F316" s="7">
        <v>0.41549282296650719</v>
      </c>
      <c r="G316">
        <v>2020</v>
      </c>
    </row>
    <row r="317" spans="1:7" x14ac:dyDescent="0.25">
      <c r="A317" t="s">
        <v>7</v>
      </c>
      <c r="B317" s="3">
        <v>43952</v>
      </c>
      <c r="C317" s="9">
        <v>453.36</v>
      </c>
      <c r="D317">
        <v>1045</v>
      </c>
      <c r="E317" s="8">
        <v>2.3050114699135342</v>
      </c>
      <c r="F317" s="7">
        <v>0.43383732057416269</v>
      </c>
      <c r="G317">
        <v>2020</v>
      </c>
    </row>
    <row r="318" spans="1:7" x14ac:dyDescent="0.25">
      <c r="A318" t="s">
        <v>7</v>
      </c>
      <c r="B318" s="3">
        <v>43983</v>
      </c>
      <c r="C318" s="9">
        <v>453.87</v>
      </c>
      <c r="D318">
        <v>1045</v>
      </c>
      <c r="E318" s="8">
        <v>2.3024213981977217</v>
      </c>
      <c r="F318" s="7">
        <v>0.43432535885167467</v>
      </c>
      <c r="G318">
        <v>2020</v>
      </c>
    </row>
    <row r="319" spans="1:7" x14ac:dyDescent="0.25">
      <c r="A319" t="s">
        <v>7</v>
      </c>
      <c r="B319" s="3">
        <v>44013</v>
      </c>
      <c r="C319" s="9">
        <v>440.99</v>
      </c>
      <c r="D319">
        <v>1045</v>
      </c>
      <c r="E319" s="8">
        <v>2.3696682464454977</v>
      </c>
      <c r="F319" s="7">
        <v>0.42199999999999999</v>
      </c>
      <c r="G319">
        <v>2020</v>
      </c>
    </row>
    <row r="320" spans="1:7" x14ac:dyDescent="0.25">
      <c r="A320" t="s">
        <v>7</v>
      </c>
      <c r="B320" s="3">
        <v>44044</v>
      </c>
      <c r="C320" s="9">
        <v>441.51</v>
      </c>
      <c r="D320">
        <v>1045</v>
      </c>
      <c r="E320" s="8">
        <v>2.3668773074222553</v>
      </c>
      <c r="F320" s="7">
        <v>0.42249760765550237</v>
      </c>
      <c r="G320">
        <v>2020</v>
      </c>
    </row>
    <row r="321" spans="1:7" x14ac:dyDescent="0.25">
      <c r="A321" t="s">
        <v>7</v>
      </c>
      <c r="B321" s="3">
        <v>44075</v>
      </c>
      <c r="C321" s="9">
        <v>459.21</v>
      </c>
      <c r="D321">
        <v>1045</v>
      </c>
      <c r="E321" s="8">
        <v>2.2756473073321577</v>
      </c>
      <c r="F321" s="7">
        <v>0.43943540669856457</v>
      </c>
      <c r="G321">
        <v>2020</v>
      </c>
    </row>
    <row r="322" spans="1:7" x14ac:dyDescent="0.25">
      <c r="A322" t="s">
        <v>7</v>
      </c>
      <c r="B322" s="3">
        <v>44105</v>
      </c>
      <c r="C322" s="9">
        <v>468.22</v>
      </c>
      <c r="D322">
        <v>1045</v>
      </c>
      <c r="E322" s="8">
        <v>2.2318568194438511</v>
      </c>
      <c r="F322" s="7">
        <v>0.4480574162679426</v>
      </c>
      <c r="G322">
        <v>2020</v>
      </c>
    </row>
    <row r="323" spans="1:7" x14ac:dyDescent="0.25">
      <c r="A323" t="s">
        <v>7</v>
      </c>
      <c r="B323" s="3">
        <v>44136</v>
      </c>
      <c r="C323" s="9">
        <v>486.5</v>
      </c>
      <c r="D323">
        <v>1045</v>
      </c>
      <c r="E323" s="8">
        <v>2.1479958890030835</v>
      </c>
      <c r="F323" s="7">
        <v>0.46555023923444977</v>
      </c>
      <c r="G323">
        <v>2020</v>
      </c>
    </row>
    <row r="324" spans="1:7" x14ac:dyDescent="0.25">
      <c r="A324" t="s">
        <v>7</v>
      </c>
      <c r="B324" s="3">
        <v>44166</v>
      </c>
      <c r="C324" s="9">
        <v>500.89</v>
      </c>
      <c r="D324">
        <v>1045</v>
      </c>
      <c r="E324" s="8">
        <v>2.0862864101898619</v>
      </c>
      <c r="F324" s="7">
        <v>0.47932057416267942</v>
      </c>
      <c r="G324">
        <v>2020</v>
      </c>
    </row>
    <row r="325" spans="1:7" x14ac:dyDescent="0.25">
      <c r="A325" t="s">
        <v>7</v>
      </c>
      <c r="B325" s="3">
        <v>44197</v>
      </c>
      <c r="C325" s="9">
        <v>507.31</v>
      </c>
      <c r="D325">
        <v>1100</v>
      </c>
      <c r="E325" s="8">
        <v>2.1682994618674973</v>
      </c>
      <c r="F325" s="7">
        <v>0.4611909090909091</v>
      </c>
      <c r="G325">
        <v>2021</v>
      </c>
    </row>
    <row r="326" spans="1:7" x14ac:dyDescent="0.25">
      <c r="A326" t="s">
        <v>7</v>
      </c>
      <c r="B326" s="3">
        <v>44228</v>
      </c>
      <c r="C326" s="9">
        <v>512.95000000000005</v>
      </c>
      <c r="D326">
        <v>1100</v>
      </c>
      <c r="E326" s="8">
        <v>2.1444585242226335</v>
      </c>
      <c r="F326" s="7">
        <v>0.46631818181818185</v>
      </c>
      <c r="G326">
        <v>2021</v>
      </c>
    </row>
    <row r="327" spans="1:7" x14ac:dyDescent="0.25">
      <c r="A327" t="s">
        <v>7</v>
      </c>
      <c r="B327" s="3">
        <v>44256</v>
      </c>
      <c r="C327" s="9">
        <v>515.77</v>
      </c>
      <c r="D327">
        <v>1100</v>
      </c>
      <c r="E327" s="8">
        <v>2.1327335827985343</v>
      </c>
      <c r="F327" s="7">
        <v>0.46888181818181818</v>
      </c>
      <c r="G327">
        <v>2021</v>
      </c>
    </row>
    <row r="328" spans="1:7" x14ac:dyDescent="0.25">
      <c r="A328" t="s">
        <v>7</v>
      </c>
      <c r="B328" s="3">
        <v>44287</v>
      </c>
      <c r="C328" s="9">
        <v>505.87</v>
      </c>
      <c r="D328">
        <v>1100</v>
      </c>
      <c r="E328" s="8">
        <v>2.1744717022159845</v>
      </c>
      <c r="F328" s="7">
        <v>0.45988181818181817</v>
      </c>
      <c r="G328">
        <v>2021</v>
      </c>
    </row>
    <row r="329" spans="1:7" x14ac:dyDescent="0.25">
      <c r="A329" t="s">
        <v>7</v>
      </c>
      <c r="B329" s="3">
        <v>44317</v>
      </c>
      <c r="C329" s="9">
        <v>515.84</v>
      </c>
      <c r="D329">
        <v>1100</v>
      </c>
      <c r="E329" s="8">
        <v>2.1324441687344913</v>
      </c>
      <c r="F329" s="7">
        <v>0.46894545454545455</v>
      </c>
      <c r="G329">
        <v>2021</v>
      </c>
    </row>
    <row r="330" spans="1:7" x14ac:dyDescent="0.25">
      <c r="A330" t="s">
        <v>7</v>
      </c>
      <c r="B330" s="3">
        <v>44348</v>
      </c>
      <c r="C330" s="9">
        <v>518.53</v>
      </c>
      <c r="D330">
        <v>1100</v>
      </c>
      <c r="E330" s="8">
        <v>2.1213815979789019</v>
      </c>
      <c r="F330" s="7">
        <v>0.47139090909090908</v>
      </c>
      <c r="G330">
        <v>2021</v>
      </c>
    </row>
    <row r="331" spans="1:7" x14ac:dyDescent="0.25">
      <c r="A331" t="s">
        <v>7</v>
      </c>
      <c r="B331" s="3">
        <v>44378</v>
      </c>
      <c r="C331" s="9">
        <v>522.66</v>
      </c>
      <c r="D331">
        <v>1100</v>
      </c>
      <c r="E331" s="8">
        <v>2.1046186813607317</v>
      </c>
      <c r="F331" s="7">
        <v>0.47514545454545454</v>
      </c>
      <c r="G331">
        <v>2021</v>
      </c>
    </row>
    <row r="332" spans="1:7" x14ac:dyDescent="0.25">
      <c r="A332" t="s">
        <v>7</v>
      </c>
      <c r="B332" s="3">
        <v>44409</v>
      </c>
      <c r="C332" s="9">
        <v>530.13</v>
      </c>
      <c r="D332">
        <v>1100</v>
      </c>
      <c r="E332" s="8">
        <v>2.0749627449870784</v>
      </c>
      <c r="F332" s="7">
        <v>0.48193636363636361</v>
      </c>
      <c r="G332">
        <v>2021</v>
      </c>
    </row>
    <row r="333" spans="1:7" x14ac:dyDescent="0.25">
      <c r="A333" t="s">
        <v>7</v>
      </c>
      <c r="B333" s="3">
        <v>44440</v>
      </c>
      <c r="C333" s="9">
        <v>532.55999999999995</v>
      </c>
      <c r="D333">
        <v>1100</v>
      </c>
      <c r="E333" s="8">
        <v>2.0654949677031698</v>
      </c>
      <c r="F333" s="7">
        <v>0.48414545454545449</v>
      </c>
      <c r="G333">
        <v>2021</v>
      </c>
    </row>
    <row r="334" spans="1:7" x14ac:dyDescent="0.25">
      <c r="A334" t="s">
        <v>7</v>
      </c>
      <c r="B334" s="3">
        <v>44470</v>
      </c>
      <c r="C334" s="9">
        <v>538.44000000000005</v>
      </c>
      <c r="D334">
        <v>1100</v>
      </c>
      <c r="E334" s="8">
        <v>2.0429388604115593</v>
      </c>
      <c r="F334" s="7">
        <v>0.48949090909090914</v>
      </c>
      <c r="G334">
        <v>2021</v>
      </c>
    </row>
    <row r="335" spans="1:7" x14ac:dyDescent="0.25">
      <c r="A335" t="s">
        <v>7</v>
      </c>
      <c r="B335" s="3">
        <v>44501</v>
      </c>
      <c r="C335" s="9">
        <v>550.64</v>
      </c>
      <c r="D335">
        <v>1100</v>
      </c>
      <c r="E335" s="8">
        <v>1.9976754322243209</v>
      </c>
      <c r="F335" s="7">
        <v>0.50058181818181813</v>
      </c>
      <c r="G335">
        <v>2021</v>
      </c>
    </row>
    <row r="336" spans="1:7" x14ac:dyDescent="0.25">
      <c r="A336" t="s">
        <v>7</v>
      </c>
      <c r="B336" s="3">
        <v>44531</v>
      </c>
      <c r="C336" s="9">
        <v>556.87</v>
      </c>
      <c r="D336">
        <v>1100</v>
      </c>
      <c r="E336" s="8">
        <v>1.9753263777901484</v>
      </c>
      <c r="F336" s="7">
        <v>0.50624545454545455</v>
      </c>
      <c r="G336">
        <v>2021</v>
      </c>
    </row>
    <row r="337" spans="1:7" x14ac:dyDescent="0.25">
      <c r="A337" t="s">
        <v>7</v>
      </c>
      <c r="B337" s="3">
        <v>44562</v>
      </c>
      <c r="C337" s="9">
        <v>563.97</v>
      </c>
      <c r="D337">
        <v>1212</v>
      </c>
      <c r="E337" s="8">
        <v>2.1490504814085853</v>
      </c>
      <c r="F337" s="7">
        <v>0.46532178217821785</v>
      </c>
      <c r="G337">
        <v>2022</v>
      </c>
    </row>
    <row r="338" spans="1:7" x14ac:dyDescent="0.25">
      <c r="A338" t="s">
        <v>7</v>
      </c>
      <c r="B338" s="3">
        <v>44593</v>
      </c>
      <c r="C338" s="9">
        <v>574.86</v>
      </c>
      <c r="D338">
        <v>1212</v>
      </c>
      <c r="E338" s="8">
        <v>2.1083394217722575</v>
      </c>
      <c r="F338" s="7">
        <v>0.47430693069306934</v>
      </c>
      <c r="G338">
        <v>2022</v>
      </c>
    </row>
    <row r="339" spans="1:7" x14ac:dyDescent="0.25">
      <c r="A339" t="s">
        <v>7</v>
      </c>
      <c r="B339" s="3">
        <v>44621</v>
      </c>
      <c r="C339" s="9">
        <v>585.91</v>
      </c>
      <c r="D339">
        <v>1212</v>
      </c>
      <c r="E339" s="8">
        <v>2.0685770852178664</v>
      </c>
      <c r="F339" s="7">
        <v>0.48342409240924089</v>
      </c>
      <c r="G339">
        <v>2022</v>
      </c>
    </row>
    <row r="340" spans="1:7" x14ac:dyDescent="0.25">
      <c r="A340" t="s">
        <v>7</v>
      </c>
      <c r="B340" s="3">
        <v>44652</v>
      </c>
      <c r="C340" s="9">
        <v>610.30999999999995</v>
      </c>
      <c r="D340">
        <v>1212</v>
      </c>
      <c r="E340" s="8">
        <v>1.9858760302141536</v>
      </c>
      <c r="F340" s="7">
        <v>0.50355610561056097</v>
      </c>
      <c r="G340">
        <v>2022</v>
      </c>
    </row>
    <row r="341" spans="1:7" x14ac:dyDescent="0.25">
      <c r="A341" t="s">
        <v>7</v>
      </c>
      <c r="B341" s="3">
        <v>44682</v>
      </c>
      <c r="C341" s="9">
        <v>628.58000000000004</v>
      </c>
      <c r="D341">
        <v>1212</v>
      </c>
      <c r="E341" s="8">
        <v>1.9281555251519296</v>
      </c>
      <c r="F341" s="7">
        <v>0.51863036303630361</v>
      </c>
      <c r="G341">
        <v>2022</v>
      </c>
    </row>
    <row r="342" spans="1:7" x14ac:dyDescent="0.25">
      <c r="A342" t="s">
        <v>7</v>
      </c>
      <c r="B342" s="3">
        <v>44713</v>
      </c>
      <c r="C342" s="9">
        <v>632.26</v>
      </c>
      <c r="D342">
        <v>1212</v>
      </c>
      <c r="E342" s="8">
        <v>1.9169329073482428</v>
      </c>
      <c r="F342" s="7">
        <v>0.52166666666666661</v>
      </c>
      <c r="G342">
        <v>2022</v>
      </c>
    </row>
    <row r="343" spans="1:7" x14ac:dyDescent="0.25">
      <c r="A343" t="s">
        <v>7</v>
      </c>
      <c r="B343" s="3">
        <v>44743</v>
      </c>
      <c r="C343" s="9">
        <v>633.14</v>
      </c>
      <c r="D343">
        <v>1212</v>
      </c>
      <c r="E343" s="8">
        <v>1.9142685661938907</v>
      </c>
      <c r="F343" s="7">
        <v>0.52239273927392738</v>
      </c>
      <c r="G343">
        <v>2022</v>
      </c>
    </row>
    <row r="344" spans="1:7" x14ac:dyDescent="0.25">
      <c r="A344" t="s">
        <v>7</v>
      </c>
      <c r="B344" s="3">
        <v>44774</v>
      </c>
      <c r="C344" s="9">
        <v>634.85</v>
      </c>
      <c r="D344">
        <v>1212</v>
      </c>
      <c r="E344" s="8">
        <v>1.9091123887532486</v>
      </c>
      <c r="F344" s="7">
        <v>0.52380363036303634</v>
      </c>
      <c r="G344">
        <v>2022</v>
      </c>
    </row>
    <row r="345" spans="1:7" x14ac:dyDescent="0.25">
      <c r="A345" t="s">
        <v>7</v>
      </c>
      <c r="B345" s="3">
        <v>44805</v>
      </c>
      <c r="C345" s="9">
        <v>622.46</v>
      </c>
      <c r="D345">
        <v>1212</v>
      </c>
      <c r="E345" s="8">
        <v>1.9471130675063457</v>
      </c>
      <c r="F345" s="7">
        <v>0.51358085808580856</v>
      </c>
      <c r="G345">
        <v>2022</v>
      </c>
    </row>
    <row r="346" spans="1:7" x14ac:dyDescent="0.25">
      <c r="A346" t="s">
        <v>7</v>
      </c>
      <c r="B346" s="3">
        <v>44835</v>
      </c>
      <c r="C346" s="9">
        <v>615.22</v>
      </c>
      <c r="D346">
        <v>1212</v>
      </c>
      <c r="E346" s="8">
        <v>1.9700269822177432</v>
      </c>
      <c r="F346" s="7">
        <v>0.50760726072607265</v>
      </c>
      <c r="G346">
        <v>2022</v>
      </c>
    </row>
    <row r="347" spans="1:7" x14ac:dyDescent="0.25">
      <c r="A347" t="s">
        <v>7</v>
      </c>
      <c r="B347" s="3">
        <v>44866</v>
      </c>
      <c r="C347" s="9">
        <v>624.29</v>
      </c>
      <c r="D347">
        <v>1212</v>
      </c>
      <c r="E347" s="8">
        <v>1.9414054365759503</v>
      </c>
      <c r="F347" s="7">
        <v>0.51509075907590751</v>
      </c>
      <c r="G347">
        <v>2022</v>
      </c>
    </row>
    <row r="348" spans="1:7" x14ac:dyDescent="0.25">
      <c r="A348" t="s">
        <v>7</v>
      </c>
      <c r="B348" s="3">
        <v>44896</v>
      </c>
      <c r="C348" s="9">
        <v>639.44000000000005</v>
      </c>
      <c r="D348">
        <v>1212</v>
      </c>
      <c r="E348" s="8">
        <v>1.8954084824221191</v>
      </c>
      <c r="F348" s="7">
        <v>0.52759075907590769</v>
      </c>
      <c r="G348">
        <v>2022</v>
      </c>
    </row>
    <row r="349" spans="1:7" x14ac:dyDescent="0.25">
      <c r="A349" t="s">
        <v>7</v>
      </c>
      <c r="B349" s="3">
        <v>44927</v>
      </c>
      <c r="C349" s="9">
        <v>654.80999999999995</v>
      </c>
      <c r="D349">
        <v>1302</v>
      </c>
      <c r="E349" s="8">
        <v>1.9883630366060385</v>
      </c>
      <c r="F349" s="7">
        <v>0.5029262672811059</v>
      </c>
      <c r="G349">
        <v>2023</v>
      </c>
    </row>
    <row r="350" spans="1:7" x14ac:dyDescent="0.25">
      <c r="A350" t="s">
        <v>7</v>
      </c>
      <c r="B350" s="3">
        <v>44958</v>
      </c>
      <c r="C350" s="9">
        <v>662.98</v>
      </c>
      <c r="D350">
        <v>1302</v>
      </c>
      <c r="E350" s="8">
        <v>1.9638601466107575</v>
      </c>
      <c r="F350" s="7">
        <v>0.50920122887864827</v>
      </c>
      <c r="G350">
        <v>2023</v>
      </c>
    </row>
    <row r="351" spans="1:7" x14ac:dyDescent="0.25">
      <c r="A351" t="s">
        <v>7</v>
      </c>
      <c r="B351" s="3">
        <v>44986</v>
      </c>
      <c r="C351" s="9">
        <v>664.54</v>
      </c>
      <c r="D351">
        <v>1302</v>
      </c>
      <c r="E351" s="8">
        <v>1.9592500075240016</v>
      </c>
      <c r="F351" s="7">
        <v>0.51039938556067588</v>
      </c>
      <c r="G351">
        <v>2023</v>
      </c>
    </row>
    <row r="352" spans="1:7" x14ac:dyDescent="0.25">
      <c r="A352" t="s">
        <v>7</v>
      </c>
      <c r="B352" s="3">
        <v>45017</v>
      </c>
      <c r="C352" s="9">
        <v>660.77</v>
      </c>
      <c r="D352">
        <v>1302</v>
      </c>
      <c r="E352" s="8">
        <v>1.9704284395478004</v>
      </c>
      <c r="F352" s="7">
        <v>0.50750384024577566</v>
      </c>
      <c r="G352">
        <v>2023</v>
      </c>
    </row>
    <row r="353" spans="1:7" x14ac:dyDescent="0.25">
      <c r="A353" t="s">
        <v>7</v>
      </c>
      <c r="B353" s="3">
        <v>45047</v>
      </c>
      <c r="C353" s="9">
        <v>669.8</v>
      </c>
      <c r="D353">
        <v>1320</v>
      </c>
      <c r="E353" s="8">
        <v>1.9707375335921171</v>
      </c>
      <c r="F353" s="7">
        <v>0.50742424242424244</v>
      </c>
      <c r="G353">
        <v>2023</v>
      </c>
    </row>
    <row r="354" spans="1:7" x14ac:dyDescent="0.25">
      <c r="A354" t="s">
        <v>7</v>
      </c>
      <c r="B354" s="3">
        <v>45078</v>
      </c>
      <c r="C354" s="9">
        <v>659.89</v>
      </c>
      <c r="D354">
        <v>1320</v>
      </c>
      <c r="E354" s="8">
        <v>2.0003333888981496</v>
      </c>
      <c r="F354" s="7">
        <v>0.49991666666666668</v>
      </c>
      <c r="G354">
        <v>2023</v>
      </c>
    </row>
    <row r="355" spans="1:7" x14ac:dyDescent="0.25">
      <c r="A355" t="s">
        <v>7</v>
      </c>
      <c r="B355" s="3">
        <v>45108</v>
      </c>
      <c r="C355" s="9">
        <v>650.41999999999996</v>
      </c>
      <c r="D355">
        <v>1320</v>
      </c>
      <c r="E355" s="8">
        <v>2.0294578887488086</v>
      </c>
      <c r="F355" s="7">
        <v>0.4927424242424242</v>
      </c>
      <c r="G355">
        <v>2023</v>
      </c>
    </row>
    <row r="356" spans="1:7" x14ac:dyDescent="0.25">
      <c r="A356" t="s">
        <v>7</v>
      </c>
      <c r="B356" s="3">
        <v>45139</v>
      </c>
      <c r="C356" s="9">
        <v>640.11</v>
      </c>
      <c r="D356">
        <v>1320</v>
      </c>
      <c r="E356" s="8">
        <v>2.0621455687303745</v>
      </c>
      <c r="F356" s="7">
        <v>0.48493181818181819</v>
      </c>
      <c r="G356">
        <v>2023</v>
      </c>
    </row>
    <row r="357" spans="1:7" x14ac:dyDescent="0.25">
      <c r="A357" t="s">
        <v>7</v>
      </c>
      <c r="B357" s="3">
        <v>45170</v>
      </c>
      <c r="C357" s="9">
        <v>633.53</v>
      </c>
      <c r="D357">
        <v>1320</v>
      </c>
      <c r="E357" s="8">
        <v>2.0835635250106548</v>
      </c>
      <c r="F357" s="7">
        <v>0.47994696969696965</v>
      </c>
      <c r="G357">
        <v>2023</v>
      </c>
    </row>
    <row r="358" spans="1:7" x14ac:dyDescent="0.25">
      <c r="A358" t="s">
        <v>7</v>
      </c>
      <c r="B358" s="3">
        <v>45200</v>
      </c>
      <c r="C358" s="9">
        <v>632.91999999999996</v>
      </c>
      <c r="D358">
        <v>1320</v>
      </c>
      <c r="E358" s="8">
        <v>2.0855716362257475</v>
      </c>
      <c r="F358" s="7">
        <v>0.47948484848484846</v>
      </c>
      <c r="G358">
        <v>2023</v>
      </c>
    </row>
    <row r="359" spans="1:7" x14ac:dyDescent="0.25">
      <c r="A359" t="s">
        <v>7</v>
      </c>
      <c r="B359" s="3">
        <v>45231</v>
      </c>
      <c r="C359" s="9">
        <v>635.17999999999995</v>
      </c>
      <c r="D359">
        <v>1320</v>
      </c>
      <c r="E359" s="8">
        <v>2.0781510752857457</v>
      </c>
      <c r="F359" s="7">
        <v>0.48119696969696968</v>
      </c>
      <c r="G359">
        <v>2023</v>
      </c>
    </row>
    <row r="360" spans="1:7" x14ac:dyDescent="0.25">
      <c r="A360" t="s">
        <v>7</v>
      </c>
      <c r="B360" s="3">
        <v>45261</v>
      </c>
      <c r="C360" s="9">
        <v>645.44000000000005</v>
      </c>
      <c r="D360">
        <v>1320</v>
      </c>
      <c r="E360" s="8">
        <v>2.0451165096678232</v>
      </c>
      <c r="F360" s="7">
        <v>0.488969696969697</v>
      </c>
      <c r="G360">
        <v>2023</v>
      </c>
    </row>
    <row r="361" spans="1:7" x14ac:dyDescent="0.25">
      <c r="A361" t="s">
        <v>7</v>
      </c>
      <c r="B361" s="3">
        <v>45292</v>
      </c>
      <c r="C361" s="9">
        <v>656.78</v>
      </c>
      <c r="D361">
        <v>1412</v>
      </c>
      <c r="E361" s="8">
        <v>2.1498827613508329</v>
      </c>
      <c r="F361" s="7">
        <v>0.46514164305949007</v>
      </c>
      <c r="G361">
        <v>2024</v>
      </c>
    </row>
    <row r="362" spans="1:7" x14ac:dyDescent="0.25">
      <c r="A362" t="s">
        <v>7</v>
      </c>
      <c r="B362" s="3">
        <v>45323</v>
      </c>
      <c r="C362" s="9">
        <v>665.12</v>
      </c>
      <c r="D362">
        <v>1412</v>
      </c>
      <c r="E362" s="8">
        <v>2.1229251864325236</v>
      </c>
      <c r="F362" s="7">
        <v>0.47104815864022664</v>
      </c>
      <c r="G362">
        <v>2024</v>
      </c>
    </row>
    <row r="363" spans="1:7" x14ac:dyDescent="0.25">
      <c r="A363" t="s">
        <v>7</v>
      </c>
      <c r="B363" s="3">
        <v>45352</v>
      </c>
      <c r="C363" s="9">
        <v>667.53</v>
      </c>
      <c r="D363">
        <v>1412</v>
      </c>
      <c r="E363" s="8">
        <v>2.115260737345138</v>
      </c>
      <c r="F363" s="7">
        <v>0.47275495750708213</v>
      </c>
      <c r="G363">
        <v>2024</v>
      </c>
    </row>
    <row r="364" spans="1:7" x14ac:dyDescent="0.25">
      <c r="A364" t="s">
        <v>7</v>
      </c>
      <c r="B364" s="3">
        <v>45383</v>
      </c>
      <c r="C364" s="9">
        <v>681.45</v>
      </c>
      <c r="D364">
        <v>1412</v>
      </c>
      <c r="E364" s="8">
        <v>2.072052241543767</v>
      </c>
      <c r="F364" s="7">
        <v>0.48261331444759209</v>
      </c>
      <c r="G364">
        <v>2024</v>
      </c>
    </row>
    <row r="365" spans="1:7" x14ac:dyDescent="0.25">
      <c r="A365" t="s">
        <v>7</v>
      </c>
      <c r="B365" s="3">
        <v>45413</v>
      </c>
      <c r="C365" s="9">
        <v>690.98</v>
      </c>
      <c r="D365">
        <v>1412</v>
      </c>
      <c r="E365" s="8">
        <v>2.0434744855133289</v>
      </c>
      <c r="F365" s="7">
        <v>0.48936260623229461</v>
      </c>
      <c r="G365">
        <v>2024</v>
      </c>
    </row>
    <row r="366" spans="1:7" x14ac:dyDescent="0.25">
      <c r="A366" t="s">
        <v>7</v>
      </c>
      <c r="B366" s="3">
        <v>45444</v>
      </c>
      <c r="C366" s="9">
        <v>695.58</v>
      </c>
      <c r="D366">
        <v>1412</v>
      </c>
      <c r="E366" s="8">
        <v>2.0299606084131225</v>
      </c>
      <c r="F366" s="7">
        <v>0.49262039660056661</v>
      </c>
      <c r="G366">
        <v>2024</v>
      </c>
    </row>
    <row r="367" spans="1:7" x14ac:dyDescent="0.25">
      <c r="A367" t="s">
        <v>7</v>
      </c>
      <c r="B367" s="3">
        <v>45474</v>
      </c>
      <c r="C367" s="9">
        <v>682.39</v>
      </c>
      <c r="D367">
        <v>1412</v>
      </c>
      <c r="E367" s="8">
        <v>2.0691979659725379</v>
      </c>
      <c r="F367" s="7">
        <v>0.48327903682719547</v>
      </c>
      <c r="G367">
        <v>2024</v>
      </c>
    </row>
    <row r="368" spans="1:7" x14ac:dyDescent="0.25">
      <c r="A368" t="s">
        <v>7</v>
      </c>
      <c r="B368" s="3">
        <v>45505</v>
      </c>
      <c r="C368" s="9">
        <v>664.92</v>
      </c>
      <c r="D368">
        <v>1412</v>
      </c>
      <c r="E368" s="8">
        <v>2.1235637369909162</v>
      </c>
      <c r="F368" s="7">
        <v>0.47090651558073654</v>
      </c>
      <c r="G368">
        <v>2024</v>
      </c>
    </row>
    <row r="369" spans="1:7" x14ac:dyDescent="0.25">
      <c r="A369" t="s">
        <v>7</v>
      </c>
      <c r="B369" s="3">
        <v>45536</v>
      </c>
      <c r="C369" s="9">
        <v>647.79</v>
      </c>
      <c r="D369">
        <v>1412</v>
      </c>
      <c r="E369" s="8">
        <v>2.1797187360101269</v>
      </c>
      <c r="F369" s="7">
        <v>0.45877478753541073</v>
      </c>
      <c r="G369">
        <v>2024</v>
      </c>
    </row>
    <row r="370" spans="1:7" x14ac:dyDescent="0.25">
      <c r="A370" t="s">
        <v>7</v>
      </c>
      <c r="B370" s="3">
        <v>45566</v>
      </c>
      <c r="C370" s="9">
        <v>649.9</v>
      </c>
      <c r="D370">
        <v>1412</v>
      </c>
      <c r="E370" s="8">
        <v>2.1726419449146022</v>
      </c>
      <c r="F370" s="7">
        <v>0.46026912181303115</v>
      </c>
      <c r="G370">
        <v>2024</v>
      </c>
    </row>
    <row r="371" spans="1:7" x14ac:dyDescent="0.25">
      <c r="A371" t="s">
        <v>7</v>
      </c>
      <c r="B371" s="3">
        <v>45597</v>
      </c>
      <c r="C371" s="9">
        <v>663.02</v>
      </c>
      <c r="D371">
        <v>1412</v>
      </c>
      <c r="E371" s="8">
        <v>2.1296491810201803</v>
      </c>
      <c r="F371" s="7">
        <v>0.46956090651558074</v>
      </c>
      <c r="G371">
        <v>2024</v>
      </c>
    </row>
    <row r="372" spans="1:7" x14ac:dyDescent="0.25">
      <c r="A372" t="s">
        <v>7</v>
      </c>
      <c r="B372" s="3">
        <v>45627</v>
      </c>
      <c r="C372" s="9">
        <v>665.83</v>
      </c>
      <c r="D372">
        <v>1412</v>
      </c>
      <c r="E372" s="8">
        <v>2.1206614300947688</v>
      </c>
      <c r="F372" s="7">
        <v>0.47155099150141644</v>
      </c>
      <c r="G372">
        <v>2024</v>
      </c>
    </row>
    <row r="373" spans="1:7" x14ac:dyDescent="0.25">
      <c r="A373" t="s">
        <v>7</v>
      </c>
      <c r="B373" s="3">
        <v>45658</v>
      </c>
      <c r="C373" s="9">
        <v>697.81</v>
      </c>
      <c r="D373">
        <v>1518</v>
      </c>
      <c r="E373" s="8">
        <v>2.1753772516874221</v>
      </c>
      <c r="F373" s="7">
        <v>0.45969038208168639</v>
      </c>
      <c r="G373">
        <v>2025</v>
      </c>
    </row>
    <row r="374" spans="1:7" x14ac:dyDescent="0.25">
      <c r="A374" t="s">
        <v>7</v>
      </c>
      <c r="B374" s="3">
        <v>45689</v>
      </c>
      <c r="C374" s="9">
        <v>700.06</v>
      </c>
      <c r="D374">
        <v>1518</v>
      </c>
      <c r="E374" s="8">
        <v>2.1683855669514043</v>
      </c>
      <c r="F374" s="7">
        <v>0.46117259552042156</v>
      </c>
      <c r="G374">
        <v>2025</v>
      </c>
    </row>
    <row r="375" spans="1:7" x14ac:dyDescent="0.25">
      <c r="A375" t="s">
        <v>7</v>
      </c>
      <c r="B375" s="3">
        <v>45717</v>
      </c>
      <c r="C375" s="9">
        <v>704.9</v>
      </c>
      <c r="D375">
        <v>1518</v>
      </c>
      <c r="E375" s="8">
        <v>2.1534969499219749</v>
      </c>
      <c r="F375" s="7">
        <v>0.46436100131752306</v>
      </c>
      <c r="G375">
        <v>2025</v>
      </c>
    </row>
    <row r="376" spans="1:7" x14ac:dyDescent="0.25">
      <c r="A376" t="s">
        <v>7</v>
      </c>
      <c r="B376" s="3">
        <v>45748</v>
      </c>
      <c r="C376" s="9">
        <v>726.21</v>
      </c>
      <c r="D376">
        <v>1518</v>
      </c>
      <c r="E376" s="8">
        <v>2.0903044573883585</v>
      </c>
      <c r="F376" s="7">
        <v>0.47839920948616604</v>
      </c>
      <c r="G376">
        <v>2025</v>
      </c>
    </row>
    <row r="377" spans="1:7" x14ac:dyDescent="0.25">
      <c r="A377" t="s">
        <v>7</v>
      </c>
      <c r="B377" s="3">
        <v>45778</v>
      </c>
      <c r="C377" s="9">
        <v>726.38</v>
      </c>
      <c r="D377">
        <v>1518</v>
      </c>
      <c r="E377" s="8">
        <v>2.0898152482171866</v>
      </c>
      <c r="F377" s="7">
        <v>0.47851119894598154</v>
      </c>
      <c r="G377">
        <v>2025</v>
      </c>
    </row>
    <row r="378" spans="1:7" x14ac:dyDescent="0.25">
      <c r="A378" t="s">
        <v>7</v>
      </c>
      <c r="B378" s="3">
        <v>45809</v>
      </c>
      <c r="C378" s="9">
        <v>709.04</v>
      </c>
      <c r="D378">
        <v>1518</v>
      </c>
      <c r="E378" s="8">
        <v>2.1409229380570913</v>
      </c>
      <c r="F378" s="7">
        <v>0.46708827404479575</v>
      </c>
      <c r="G378">
        <v>2025</v>
      </c>
    </row>
    <row r="379" spans="1:7" x14ac:dyDescent="0.25">
      <c r="A379" t="s">
        <v>9</v>
      </c>
      <c r="B379" s="3">
        <v>42005</v>
      </c>
      <c r="C379" s="9">
        <v>353.6</v>
      </c>
      <c r="D379">
        <v>788</v>
      </c>
      <c r="E379" s="8">
        <v>2.2285067873303168</v>
      </c>
      <c r="F379" s="7">
        <v>0.44873096446700511</v>
      </c>
      <c r="G379">
        <v>2015</v>
      </c>
    </row>
    <row r="380" spans="1:7" x14ac:dyDescent="0.25">
      <c r="A380" t="s">
        <v>9</v>
      </c>
      <c r="B380" s="3">
        <v>42036</v>
      </c>
      <c r="C380" s="9">
        <v>355.7</v>
      </c>
      <c r="D380">
        <v>788</v>
      </c>
      <c r="E380" s="8">
        <v>2.2153500140567894</v>
      </c>
      <c r="F380" s="7">
        <v>0.45139593908629438</v>
      </c>
      <c r="G380">
        <v>2015</v>
      </c>
    </row>
    <row r="381" spans="1:7" x14ac:dyDescent="0.25">
      <c r="A381" t="s">
        <v>9</v>
      </c>
      <c r="B381" s="3">
        <v>42064</v>
      </c>
      <c r="C381" s="9">
        <v>351.93</v>
      </c>
      <c r="D381">
        <v>788</v>
      </c>
      <c r="E381" s="8">
        <v>2.2390816355525245</v>
      </c>
      <c r="F381" s="7">
        <v>0.44661167512690358</v>
      </c>
      <c r="G381">
        <v>2015</v>
      </c>
    </row>
    <row r="382" spans="1:7" x14ac:dyDescent="0.25">
      <c r="A382" t="s">
        <v>9</v>
      </c>
      <c r="B382" s="3">
        <v>42095</v>
      </c>
      <c r="C382" s="9">
        <v>358</v>
      </c>
      <c r="D382">
        <v>788</v>
      </c>
      <c r="E382" s="8">
        <v>2.2011173184357542</v>
      </c>
      <c r="F382" s="7">
        <v>0.45431472081218272</v>
      </c>
      <c r="G382">
        <v>2015</v>
      </c>
    </row>
    <row r="383" spans="1:7" x14ac:dyDescent="0.25">
      <c r="A383" t="s">
        <v>9</v>
      </c>
      <c r="B383" s="3">
        <v>42125</v>
      </c>
      <c r="C383" s="9">
        <v>370.23</v>
      </c>
      <c r="D383">
        <v>788</v>
      </c>
      <c r="E383" s="8">
        <v>2.128406666126462</v>
      </c>
      <c r="F383" s="7">
        <v>0.4698350253807107</v>
      </c>
      <c r="G383">
        <v>2015</v>
      </c>
    </row>
    <row r="384" spans="1:7" x14ac:dyDescent="0.25">
      <c r="A384" t="s">
        <v>9</v>
      </c>
      <c r="B384" s="3">
        <v>42156</v>
      </c>
      <c r="C384" s="9">
        <v>359.61</v>
      </c>
      <c r="D384">
        <v>788</v>
      </c>
      <c r="E384" s="8">
        <v>2.1912627568755041</v>
      </c>
      <c r="F384" s="7">
        <v>0.45635786802030459</v>
      </c>
      <c r="G384">
        <v>2015</v>
      </c>
    </row>
    <row r="385" spans="1:7" x14ac:dyDescent="0.25">
      <c r="A385" t="s">
        <v>9</v>
      </c>
      <c r="B385" s="3">
        <v>42186</v>
      </c>
      <c r="C385" s="9">
        <v>354.94</v>
      </c>
      <c r="D385">
        <v>788</v>
      </c>
      <c r="E385" s="8">
        <v>2.2200935369358201</v>
      </c>
      <c r="F385" s="7">
        <v>0.45043147208121825</v>
      </c>
      <c r="G385">
        <v>2015</v>
      </c>
    </row>
    <row r="386" spans="1:7" x14ac:dyDescent="0.25">
      <c r="A386" t="s">
        <v>9</v>
      </c>
      <c r="B386" s="3">
        <v>42217</v>
      </c>
      <c r="C386" s="9">
        <v>342.66</v>
      </c>
      <c r="D386">
        <v>788</v>
      </c>
      <c r="E386" s="8">
        <v>2.2996556353236444</v>
      </c>
      <c r="F386" s="7">
        <v>0.43484771573604064</v>
      </c>
      <c r="G386">
        <v>2015</v>
      </c>
    </row>
    <row r="387" spans="1:7" x14ac:dyDescent="0.25">
      <c r="A387" t="s">
        <v>9</v>
      </c>
      <c r="B387" s="3">
        <v>42248</v>
      </c>
      <c r="C387" s="9">
        <v>338.28</v>
      </c>
      <c r="D387">
        <v>788</v>
      </c>
      <c r="E387" s="8">
        <v>2.3294312403925743</v>
      </c>
      <c r="F387" s="7">
        <v>0.42928934010152281</v>
      </c>
      <c r="G387">
        <v>2015</v>
      </c>
    </row>
    <row r="388" spans="1:7" x14ac:dyDescent="0.25">
      <c r="A388" t="s">
        <v>9</v>
      </c>
      <c r="B388" s="3">
        <v>42278</v>
      </c>
      <c r="C388" s="9">
        <v>345.38</v>
      </c>
      <c r="D388">
        <v>788</v>
      </c>
      <c r="E388" s="8">
        <v>2.2815449649661241</v>
      </c>
      <c r="F388" s="7">
        <v>0.4382994923857868</v>
      </c>
      <c r="G388">
        <v>2015</v>
      </c>
    </row>
    <row r="389" spans="1:7" x14ac:dyDescent="0.25">
      <c r="A389" t="s">
        <v>9</v>
      </c>
      <c r="B389" s="3">
        <v>42309</v>
      </c>
      <c r="C389" s="9">
        <v>377.24</v>
      </c>
      <c r="D389">
        <v>788</v>
      </c>
      <c r="E389" s="8">
        <v>2.0888559007528364</v>
      </c>
      <c r="F389" s="7">
        <v>0.47873096446700508</v>
      </c>
      <c r="G389">
        <v>2015</v>
      </c>
    </row>
    <row r="390" spans="1:7" x14ac:dyDescent="0.25">
      <c r="A390" t="s">
        <v>9</v>
      </c>
      <c r="B390" s="3">
        <v>42339</v>
      </c>
      <c r="C390" s="9">
        <v>392.93</v>
      </c>
      <c r="D390">
        <v>788</v>
      </c>
      <c r="E390" s="8">
        <v>2.0054462626931007</v>
      </c>
      <c r="F390" s="7">
        <v>0.49864213197969542</v>
      </c>
      <c r="G390">
        <v>2015</v>
      </c>
    </row>
    <row r="391" spans="1:7" x14ac:dyDescent="0.25">
      <c r="A391" t="s">
        <v>9</v>
      </c>
      <c r="B391" s="3">
        <v>42370</v>
      </c>
      <c r="C391" s="9">
        <v>451.76</v>
      </c>
      <c r="D391">
        <v>880</v>
      </c>
      <c r="E391" s="8">
        <v>1.9479369576766425</v>
      </c>
      <c r="F391" s="7">
        <v>0.51336363636363636</v>
      </c>
      <c r="G391">
        <v>2016</v>
      </c>
    </row>
    <row r="392" spans="1:7" x14ac:dyDescent="0.25">
      <c r="A392" t="s">
        <v>9</v>
      </c>
      <c r="B392" s="3">
        <v>42401</v>
      </c>
      <c r="C392" s="9">
        <v>438.69</v>
      </c>
      <c r="D392">
        <v>880</v>
      </c>
      <c r="E392" s="8">
        <v>2.0059723266999474</v>
      </c>
      <c r="F392" s="7">
        <v>0.49851136363636361</v>
      </c>
      <c r="G392">
        <v>2016</v>
      </c>
    </row>
    <row r="393" spans="1:7" x14ac:dyDescent="0.25">
      <c r="A393" t="s">
        <v>9</v>
      </c>
      <c r="B393" s="3">
        <v>42430</v>
      </c>
      <c r="C393" s="9">
        <v>444.74</v>
      </c>
      <c r="D393">
        <v>880</v>
      </c>
      <c r="E393" s="8">
        <v>1.9786841750236093</v>
      </c>
      <c r="F393" s="7">
        <v>0.50538636363636369</v>
      </c>
      <c r="G393">
        <v>2016</v>
      </c>
    </row>
    <row r="394" spans="1:7" x14ac:dyDescent="0.25">
      <c r="A394" t="s">
        <v>9</v>
      </c>
      <c r="B394" s="3">
        <v>42461</v>
      </c>
      <c r="C394" s="9">
        <v>427.68</v>
      </c>
      <c r="D394">
        <v>880</v>
      </c>
      <c r="E394" s="8">
        <v>2.0576131687242798</v>
      </c>
      <c r="F394" s="7">
        <v>0.48599999999999999</v>
      </c>
      <c r="G394">
        <v>2016</v>
      </c>
    </row>
    <row r="395" spans="1:7" x14ac:dyDescent="0.25">
      <c r="A395" t="s">
        <v>9</v>
      </c>
      <c r="B395" s="3">
        <v>42491</v>
      </c>
      <c r="C395" s="9">
        <v>441.6</v>
      </c>
      <c r="D395">
        <v>880</v>
      </c>
      <c r="E395" s="8">
        <v>1.9927536231884058</v>
      </c>
      <c r="F395" s="7">
        <v>0.50181818181818183</v>
      </c>
      <c r="G395">
        <v>2016</v>
      </c>
    </row>
    <row r="396" spans="1:7" x14ac:dyDescent="0.25">
      <c r="A396" t="s">
        <v>9</v>
      </c>
      <c r="B396" s="3">
        <v>42522</v>
      </c>
      <c r="C396" s="9">
        <v>448.4</v>
      </c>
      <c r="D396">
        <v>880</v>
      </c>
      <c r="E396" s="8">
        <v>1.9625334522747548</v>
      </c>
      <c r="F396" s="7">
        <v>0.50954545454545452</v>
      </c>
      <c r="G396">
        <v>2016</v>
      </c>
    </row>
    <row r="397" spans="1:7" x14ac:dyDescent="0.25">
      <c r="A397" t="s">
        <v>9</v>
      </c>
      <c r="B397" s="3">
        <v>42552</v>
      </c>
      <c r="C397" s="9">
        <v>447.36</v>
      </c>
      <c r="D397">
        <v>880</v>
      </c>
      <c r="E397" s="8">
        <v>1.9670958512160228</v>
      </c>
      <c r="F397" s="7">
        <v>0.50836363636363635</v>
      </c>
      <c r="G397">
        <v>2016</v>
      </c>
    </row>
    <row r="398" spans="1:7" x14ac:dyDescent="0.25">
      <c r="A398" t="s">
        <v>9</v>
      </c>
      <c r="B398" s="3">
        <v>42583</v>
      </c>
      <c r="C398" s="9">
        <v>451.29</v>
      </c>
      <c r="D398">
        <v>880</v>
      </c>
      <c r="E398" s="8">
        <v>1.9499656540140484</v>
      </c>
      <c r="F398" s="7">
        <v>0.51282954545454551</v>
      </c>
      <c r="G398">
        <v>2016</v>
      </c>
    </row>
    <row r="399" spans="1:7" x14ac:dyDescent="0.25">
      <c r="A399" t="s">
        <v>9</v>
      </c>
      <c r="B399" s="3">
        <v>42614</v>
      </c>
      <c r="C399" s="9">
        <v>461.99</v>
      </c>
      <c r="D399">
        <v>880</v>
      </c>
      <c r="E399" s="8">
        <v>1.9048031342669753</v>
      </c>
      <c r="F399" s="7">
        <v>0.52498863636363635</v>
      </c>
      <c r="G399">
        <v>2016</v>
      </c>
    </row>
    <row r="400" spans="1:7" x14ac:dyDescent="0.25">
      <c r="A400" t="s">
        <v>9</v>
      </c>
      <c r="B400" s="3">
        <v>42644</v>
      </c>
      <c r="C400" s="9">
        <v>436.85</v>
      </c>
      <c r="D400">
        <v>880</v>
      </c>
      <c r="E400" s="8">
        <v>2.0144214261188051</v>
      </c>
      <c r="F400" s="7">
        <v>0.49642045454545458</v>
      </c>
      <c r="G400">
        <v>2016</v>
      </c>
    </row>
    <row r="401" spans="1:7" x14ac:dyDescent="0.25">
      <c r="A401" t="s">
        <v>9</v>
      </c>
      <c r="B401" s="3">
        <v>42675</v>
      </c>
      <c r="C401" s="9">
        <v>436.68</v>
      </c>
      <c r="D401">
        <v>880</v>
      </c>
      <c r="E401" s="8">
        <v>2.0152056425757991</v>
      </c>
      <c r="F401" s="7">
        <v>0.49622727272727274</v>
      </c>
      <c r="G401">
        <v>2016</v>
      </c>
    </row>
    <row r="402" spans="1:7" x14ac:dyDescent="0.25">
      <c r="A402" t="s">
        <v>9</v>
      </c>
      <c r="B402" s="3">
        <v>42705</v>
      </c>
      <c r="C402" s="9">
        <v>431.71</v>
      </c>
      <c r="D402">
        <v>880</v>
      </c>
      <c r="E402" s="8">
        <v>2.0384054110398186</v>
      </c>
      <c r="F402" s="7">
        <v>0.49057954545454541</v>
      </c>
      <c r="G402">
        <v>2016</v>
      </c>
    </row>
    <row r="403" spans="1:7" x14ac:dyDescent="0.25">
      <c r="A403" t="s">
        <v>9</v>
      </c>
      <c r="B403" s="3">
        <v>42736</v>
      </c>
      <c r="C403" s="9">
        <v>432.65</v>
      </c>
      <c r="D403">
        <v>937</v>
      </c>
      <c r="E403" s="8">
        <v>2.165722870680689</v>
      </c>
      <c r="F403" s="7">
        <v>0.46173959445037349</v>
      </c>
      <c r="G403">
        <v>2017</v>
      </c>
    </row>
    <row r="404" spans="1:7" x14ac:dyDescent="0.25">
      <c r="A404" t="s">
        <v>9</v>
      </c>
      <c r="B404" s="3">
        <v>42767</v>
      </c>
      <c r="C404" s="9">
        <v>416.59</v>
      </c>
      <c r="D404">
        <v>937</v>
      </c>
      <c r="E404" s="8">
        <v>2.2492138553493843</v>
      </c>
      <c r="F404" s="7">
        <v>0.44459978655282817</v>
      </c>
      <c r="G404">
        <v>2017</v>
      </c>
    </row>
    <row r="405" spans="1:7" x14ac:dyDescent="0.25">
      <c r="A405" t="s">
        <v>9</v>
      </c>
      <c r="B405" s="3">
        <v>42795</v>
      </c>
      <c r="C405" s="9">
        <v>415.39</v>
      </c>
      <c r="D405">
        <v>937</v>
      </c>
      <c r="E405" s="8">
        <v>2.2557115000361105</v>
      </c>
      <c r="F405" s="7">
        <v>0.44331910352187831</v>
      </c>
      <c r="G405">
        <v>2017</v>
      </c>
    </row>
    <row r="406" spans="1:7" x14ac:dyDescent="0.25">
      <c r="A406" t="s">
        <v>9</v>
      </c>
      <c r="B406" s="3">
        <v>42826</v>
      </c>
      <c r="C406" s="9">
        <v>427.37</v>
      </c>
      <c r="D406">
        <v>937</v>
      </c>
      <c r="E406" s="8">
        <v>2.1924795844350329</v>
      </c>
      <c r="F406" s="7">
        <v>0.45610458911419421</v>
      </c>
      <c r="G406">
        <v>2017</v>
      </c>
    </row>
    <row r="407" spans="1:7" x14ac:dyDescent="0.25">
      <c r="A407" t="s">
        <v>9</v>
      </c>
      <c r="B407" s="3">
        <v>42856</v>
      </c>
      <c r="C407" s="9">
        <v>422.53</v>
      </c>
      <c r="D407">
        <v>937</v>
      </c>
      <c r="E407" s="8">
        <v>2.2175940169928765</v>
      </c>
      <c r="F407" s="7">
        <v>0.45093916755602986</v>
      </c>
      <c r="G407">
        <v>2017</v>
      </c>
    </row>
    <row r="408" spans="1:7" x14ac:dyDescent="0.25">
      <c r="A408" t="s">
        <v>9</v>
      </c>
      <c r="B408" s="3">
        <v>42887</v>
      </c>
      <c r="C408" s="9">
        <v>404.88</v>
      </c>
      <c r="D408">
        <v>937</v>
      </c>
      <c r="E408" s="8">
        <v>2.3142659553447937</v>
      </c>
      <c r="F408" s="7">
        <v>0.43210245464247599</v>
      </c>
      <c r="G408">
        <v>2017</v>
      </c>
    </row>
    <row r="409" spans="1:7" x14ac:dyDescent="0.25">
      <c r="A409" t="s">
        <v>9</v>
      </c>
      <c r="B409" s="3">
        <v>42917</v>
      </c>
      <c r="C409" s="9">
        <v>405.4</v>
      </c>
      <c r="D409">
        <v>937</v>
      </c>
      <c r="E409" s="8">
        <v>2.3112974839664528</v>
      </c>
      <c r="F409" s="7">
        <v>0.43265741728922091</v>
      </c>
      <c r="G409">
        <v>2017</v>
      </c>
    </row>
    <row r="410" spans="1:7" x14ac:dyDescent="0.25">
      <c r="A410" t="s">
        <v>9</v>
      </c>
      <c r="B410" s="3">
        <v>42948</v>
      </c>
      <c r="C410" s="9">
        <v>396.54</v>
      </c>
      <c r="D410">
        <v>937</v>
      </c>
      <c r="E410" s="8">
        <v>2.3629394260352043</v>
      </c>
      <c r="F410" s="7">
        <v>0.42320170757737463</v>
      </c>
      <c r="G410">
        <v>2017</v>
      </c>
    </row>
    <row r="411" spans="1:7" x14ac:dyDescent="0.25">
      <c r="A411" t="s">
        <v>9</v>
      </c>
      <c r="B411" s="3">
        <v>42979</v>
      </c>
      <c r="C411" s="9">
        <v>383.03</v>
      </c>
      <c r="D411">
        <v>937</v>
      </c>
      <c r="E411" s="8">
        <v>2.4462835809205545</v>
      </c>
      <c r="F411" s="7">
        <v>0.4087833511205976</v>
      </c>
      <c r="G411">
        <v>2017</v>
      </c>
    </row>
    <row r="412" spans="1:7" x14ac:dyDescent="0.25">
      <c r="A412" t="s">
        <v>9</v>
      </c>
      <c r="B412" s="3">
        <v>43009</v>
      </c>
      <c r="C412" s="9">
        <v>388.78</v>
      </c>
      <c r="D412">
        <v>937</v>
      </c>
      <c r="E412" s="8">
        <v>2.4101034003806783</v>
      </c>
      <c r="F412" s="7">
        <v>0.41491995731056558</v>
      </c>
      <c r="G412">
        <v>2017</v>
      </c>
    </row>
    <row r="413" spans="1:7" x14ac:dyDescent="0.25">
      <c r="A413" t="s">
        <v>9</v>
      </c>
      <c r="B413" s="3">
        <v>43040</v>
      </c>
      <c r="C413" s="9">
        <v>380.52</v>
      </c>
      <c r="D413">
        <v>937</v>
      </c>
      <c r="E413" s="8">
        <v>2.4624198465258069</v>
      </c>
      <c r="F413" s="7">
        <v>0.40610458911419423</v>
      </c>
      <c r="G413">
        <v>2017</v>
      </c>
    </row>
    <row r="414" spans="1:7" x14ac:dyDescent="0.25">
      <c r="A414" t="s">
        <v>9</v>
      </c>
      <c r="B414" s="3">
        <v>43070</v>
      </c>
      <c r="C414" s="9">
        <v>379.77</v>
      </c>
      <c r="D414">
        <v>937</v>
      </c>
      <c r="E414" s="8">
        <v>2.4672828290807596</v>
      </c>
      <c r="F414" s="7">
        <v>0.40530416221985055</v>
      </c>
      <c r="G414">
        <v>2017</v>
      </c>
    </row>
    <row r="415" spans="1:7" x14ac:dyDescent="0.25">
      <c r="A415" t="s">
        <v>9</v>
      </c>
      <c r="B415" s="3">
        <v>43101</v>
      </c>
      <c r="C415" s="9">
        <v>416.5</v>
      </c>
      <c r="D415">
        <v>954</v>
      </c>
      <c r="E415" s="8">
        <v>2.290516206482593</v>
      </c>
      <c r="F415" s="7">
        <v>0.43658280922431864</v>
      </c>
      <c r="G415">
        <v>2018</v>
      </c>
    </row>
    <row r="416" spans="1:7" x14ac:dyDescent="0.25">
      <c r="A416" t="s">
        <v>9</v>
      </c>
      <c r="B416" s="3">
        <v>43132</v>
      </c>
      <c r="C416" s="9">
        <v>408.68</v>
      </c>
      <c r="D416">
        <v>954</v>
      </c>
      <c r="E416" s="8">
        <v>2.3343447195850056</v>
      </c>
      <c r="F416" s="7">
        <v>0.42838574423480086</v>
      </c>
      <c r="G416">
        <v>2018</v>
      </c>
    </row>
    <row r="417" spans="1:7" x14ac:dyDescent="0.25">
      <c r="A417" t="s">
        <v>9</v>
      </c>
      <c r="B417" s="3">
        <v>43160</v>
      </c>
      <c r="C417" s="9">
        <v>404.6</v>
      </c>
      <c r="D417">
        <v>954</v>
      </c>
      <c r="E417" s="8">
        <v>2.3578843302026691</v>
      </c>
      <c r="F417" s="7">
        <v>0.42410901467505241</v>
      </c>
      <c r="G417">
        <v>2018</v>
      </c>
    </row>
    <row r="418" spans="1:7" x14ac:dyDescent="0.25">
      <c r="A418" t="s">
        <v>9</v>
      </c>
      <c r="B418" s="3">
        <v>43191</v>
      </c>
      <c r="C418" s="9">
        <v>402.31</v>
      </c>
      <c r="D418">
        <v>954</v>
      </c>
      <c r="E418" s="8">
        <v>2.371305709527479</v>
      </c>
      <c r="F418" s="7">
        <v>0.42170859538784067</v>
      </c>
      <c r="G418">
        <v>2018</v>
      </c>
    </row>
    <row r="419" spans="1:7" x14ac:dyDescent="0.25">
      <c r="A419" t="s">
        <v>9</v>
      </c>
      <c r="B419" s="3">
        <v>43221</v>
      </c>
      <c r="C419" s="9">
        <v>404.65</v>
      </c>
      <c r="D419">
        <v>954</v>
      </c>
      <c r="E419" s="8">
        <v>2.3575929815890277</v>
      </c>
      <c r="F419" s="7">
        <v>0.42416142557651987</v>
      </c>
      <c r="G419">
        <v>2018</v>
      </c>
    </row>
    <row r="420" spans="1:7" x14ac:dyDescent="0.25">
      <c r="A420" t="s">
        <v>9</v>
      </c>
      <c r="B420" s="3">
        <v>43252</v>
      </c>
      <c r="C420" s="9">
        <v>413.02</v>
      </c>
      <c r="D420">
        <v>954</v>
      </c>
      <c r="E420" s="8">
        <v>2.309815505302407</v>
      </c>
      <c r="F420" s="7">
        <v>0.43293501048218025</v>
      </c>
      <c r="G420">
        <v>2018</v>
      </c>
    </row>
    <row r="421" spans="1:7" x14ac:dyDescent="0.25">
      <c r="A421" t="s">
        <v>9</v>
      </c>
      <c r="B421" s="3">
        <v>43282</v>
      </c>
      <c r="C421" s="9">
        <v>390.34</v>
      </c>
      <c r="D421">
        <v>954</v>
      </c>
      <c r="E421" s="8">
        <v>2.4440231592970232</v>
      </c>
      <c r="F421" s="7">
        <v>0.40916142557651991</v>
      </c>
      <c r="G421">
        <v>2018</v>
      </c>
    </row>
    <row r="422" spans="1:7" x14ac:dyDescent="0.25">
      <c r="A422" t="s">
        <v>9</v>
      </c>
      <c r="B422" s="3">
        <v>43313</v>
      </c>
      <c r="C422" s="9">
        <v>385.62</v>
      </c>
      <c r="D422">
        <v>954</v>
      </c>
      <c r="E422" s="8">
        <v>2.4739380737513614</v>
      </c>
      <c r="F422" s="7">
        <v>0.40421383647798742</v>
      </c>
      <c r="G422">
        <v>2018</v>
      </c>
    </row>
    <row r="423" spans="1:7" x14ac:dyDescent="0.25">
      <c r="A423" t="s">
        <v>9</v>
      </c>
      <c r="B423" s="3">
        <v>43344</v>
      </c>
      <c r="C423" s="9">
        <v>390.14</v>
      </c>
      <c r="D423">
        <v>954</v>
      </c>
      <c r="E423" s="8">
        <v>2.4452760547495771</v>
      </c>
      <c r="F423" s="7">
        <v>0.40895178197064991</v>
      </c>
      <c r="G423">
        <v>2018</v>
      </c>
    </row>
    <row r="424" spans="1:7" x14ac:dyDescent="0.25">
      <c r="A424" t="s">
        <v>9</v>
      </c>
      <c r="B424" s="3">
        <v>43374</v>
      </c>
      <c r="C424" s="9">
        <v>408.57</v>
      </c>
      <c r="D424">
        <v>954</v>
      </c>
      <c r="E424" s="8">
        <v>2.3349731992069902</v>
      </c>
      <c r="F424" s="7">
        <v>0.42827044025157229</v>
      </c>
      <c r="G424">
        <v>2018</v>
      </c>
    </row>
    <row r="425" spans="1:7" x14ac:dyDescent="0.25">
      <c r="A425" t="s">
        <v>9</v>
      </c>
      <c r="B425" s="3">
        <v>43405</v>
      </c>
      <c r="C425" s="9">
        <v>430.82</v>
      </c>
      <c r="D425">
        <v>954</v>
      </c>
      <c r="E425" s="8">
        <v>2.2143818764217076</v>
      </c>
      <c r="F425" s="7">
        <v>0.45159329140461213</v>
      </c>
      <c r="G425">
        <v>2018</v>
      </c>
    </row>
    <row r="426" spans="1:7" x14ac:dyDescent="0.25">
      <c r="A426" t="s">
        <v>9</v>
      </c>
      <c r="B426" s="3">
        <v>43435</v>
      </c>
      <c r="C426" s="9">
        <v>435.83</v>
      </c>
      <c r="D426">
        <v>954</v>
      </c>
      <c r="E426" s="8">
        <v>2.1889268751577449</v>
      </c>
      <c r="F426" s="7">
        <v>0.45684486373165617</v>
      </c>
      <c r="G426">
        <v>2018</v>
      </c>
    </row>
    <row r="427" spans="1:7" x14ac:dyDescent="0.25">
      <c r="A427" t="s">
        <v>9</v>
      </c>
      <c r="B427" s="3">
        <v>43466</v>
      </c>
      <c r="C427" s="9">
        <v>427.1</v>
      </c>
      <c r="D427">
        <v>998</v>
      </c>
      <c r="E427" s="8">
        <v>2.3366892999297586</v>
      </c>
      <c r="F427" s="7">
        <v>0.42795591182364734</v>
      </c>
      <c r="G427">
        <v>2019</v>
      </c>
    </row>
    <row r="428" spans="1:7" x14ac:dyDescent="0.25">
      <c r="A428" t="s">
        <v>9</v>
      </c>
      <c r="B428" s="3">
        <v>43497</v>
      </c>
      <c r="C428" s="9">
        <v>427.54</v>
      </c>
      <c r="D428">
        <v>998</v>
      </c>
      <c r="E428" s="8">
        <v>2.3342845113907469</v>
      </c>
      <c r="F428" s="7">
        <v>0.42839679358717436</v>
      </c>
      <c r="G428">
        <v>2019</v>
      </c>
    </row>
    <row r="429" spans="1:7" x14ac:dyDescent="0.25">
      <c r="A429" t="s">
        <v>9</v>
      </c>
      <c r="B429" s="3">
        <v>43525</v>
      </c>
      <c r="C429" s="9">
        <v>474.94</v>
      </c>
      <c r="D429">
        <v>998</v>
      </c>
      <c r="E429" s="8">
        <v>2.1013180612287869</v>
      </c>
      <c r="F429" s="7">
        <v>0.47589178356713424</v>
      </c>
      <c r="G429">
        <v>2019</v>
      </c>
    </row>
    <row r="430" spans="1:7" x14ac:dyDescent="0.25">
      <c r="A430" t="s">
        <v>9</v>
      </c>
      <c r="B430" s="3">
        <v>43556</v>
      </c>
      <c r="C430" s="9">
        <v>487.02</v>
      </c>
      <c r="D430">
        <v>998</v>
      </c>
      <c r="E430" s="8">
        <v>2.0491971582275883</v>
      </c>
      <c r="F430" s="7">
        <v>0.48799599198396792</v>
      </c>
      <c r="G430">
        <v>2019</v>
      </c>
    </row>
    <row r="431" spans="1:7" x14ac:dyDescent="0.25">
      <c r="A431" t="s">
        <v>9</v>
      </c>
      <c r="B431" s="3">
        <v>43586</v>
      </c>
      <c r="C431" s="9">
        <v>487.3</v>
      </c>
      <c r="D431">
        <v>998</v>
      </c>
      <c r="E431" s="8">
        <v>2.0480197003899034</v>
      </c>
      <c r="F431" s="7">
        <v>0.48827655310621243</v>
      </c>
      <c r="G431">
        <v>2019</v>
      </c>
    </row>
    <row r="432" spans="1:7" x14ac:dyDescent="0.25">
      <c r="A432" t="s">
        <v>9</v>
      </c>
      <c r="B432" s="3">
        <v>43617</v>
      </c>
      <c r="C432" s="9">
        <v>454.9</v>
      </c>
      <c r="D432">
        <v>998</v>
      </c>
      <c r="E432" s="8">
        <v>2.1938887667619258</v>
      </c>
      <c r="F432" s="7">
        <v>0.45581162324649294</v>
      </c>
      <c r="G432">
        <v>2019</v>
      </c>
    </row>
    <row r="433" spans="1:7" x14ac:dyDescent="0.25">
      <c r="A433" t="s">
        <v>9</v>
      </c>
      <c r="B433" s="3">
        <v>43647</v>
      </c>
      <c r="C433" s="9">
        <v>449.27</v>
      </c>
      <c r="D433">
        <v>998</v>
      </c>
      <c r="E433" s="8">
        <v>2.2213813519709751</v>
      </c>
      <c r="F433" s="7">
        <v>0.45017034068136269</v>
      </c>
      <c r="G433">
        <v>2019</v>
      </c>
    </row>
    <row r="434" spans="1:7" x14ac:dyDescent="0.25">
      <c r="A434" t="s">
        <v>9</v>
      </c>
      <c r="B434" s="3">
        <v>43678</v>
      </c>
      <c r="C434" s="9">
        <v>433.45</v>
      </c>
      <c r="D434">
        <v>998</v>
      </c>
      <c r="E434" s="8">
        <v>2.3024570307994003</v>
      </c>
      <c r="F434" s="7">
        <v>0.43431863727454911</v>
      </c>
      <c r="G434">
        <v>2019</v>
      </c>
    </row>
    <row r="435" spans="1:7" x14ac:dyDescent="0.25">
      <c r="A435" t="s">
        <v>9</v>
      </c>
      <c r="B435" s="3">
        <v>43709</v>
      </c>
      <c r="C435" s="9">
        <v>420.01</v>
      </c>
      <c r="D435">
        <v>998</v>
      </c>
      <c r="E435" s="8">
        <v>2.3761339015737719</v>
      </c>
      <c r="F435" s="7">
        <v>0.4208517034068136</v>
      </c>
      <c r="G435">
        <v>2019</v>
      </c>
    </row>
    <row r="436" spans="1:7" x14ac:dyDescent="0.25">
      <c r="A436" t="s">
        <v>9</v>
      </c>
      <c r="B436" s="3">
        <v>43739</v>
      </c>
      <c r="C436" s="9">
        <v>441.91</v>
      </c>
      <c r="D436">
        <v>998</v>
      </c>
      <c r="E436" s="8">
        <v>2.2583784028422076</v>
      </c>
      <c r="F436" s="7">
        <v>0.44279559118236478</v>
      </c>
      <c r="G436">
        <v>2019</v>
      </c>
    </row>
    <row r="437" spans="1:7" x14ac:dyDescent="0.25">
      <c r="A437" t="s">
        <v>9</v>
      </c>
      <c r="B437" s="3">
        <v>43800</v>
      </c>
      <c r="C437" s="9">
        <v>473.9</v>
      </c>
      <c r="D437">
        <v>998</v>
      </c>
      <c r="E437" s="8">
        <v>2.105929520995991</v>
      </c>
      <c r="F437" s="7">
        <v>0.47484969939879756</v>
      </c>
      <c r="G437">
        <v>2019</v>
      </c>
    </row>
    <row r="438" spans="1:7" x14ac:dyDescent="0.25">
      <c r="A438" t="s">
        <v>9</v>
      </c>
      <c r="B438" s="3">
        <v>43831</v>
      </c>
      <c r="C438" s="9">
        <v>483.17</v>
      </c>
      <c r="D438">
        <v>1039</v>
      </c>
      <c r="E438" s="8">
        <v>2.1503818531779704</v>
      </c>
      <c r="F438" s="7">
        <v>0.46503368623676616</v>
      </c>
      <c r="G438">
        <v>2020</v>
      </c>
    </row>
    <row r="439" spans="1:7" x14ac:dyDescent="0.25">
      <c r="A439" t="s">
        <v>9</v>
      </c>
      <c r="B439" s="3">
        <v>43862</v>
      </c>
      <c r="C439" s="9">
        <v>481.78</v>
      </c>
      <c r="D439">
        <v>1045</v>
      </c>
      <c r="E439" s="8">
        <v>2.1690398107019804</v>
      </c>
      <c r="F439" s="7">
        <v>0.46103349282296646</v>
      </c>
      <c r="G439">
        <v>2020</v>
      </c>
    </row>
    <row r="440" spans="1:7" x14ac:dyDescent="0.25">
      <c r="A440" t="s">
        <v>9</v>
      </c>
      <c r="B440" s="3">
        <v>43891</v>
      </c>
      <c r="C440" s="9">
        <v>484.15</v>
      </c>
      <c r="D440">
        <v>1045</v>
      </c>
      <c r="E440" s="8">
        <v>2.1584219766601263</v>
      </c>
      <c r="F440" s="7">
        <v>0.46330143540669855</v>
      </c>
      <c r="G440">
        <v>2020</v>
      </c>
    </row>
    <row r="441" spans="1:7" x14ac:dyDescent="0.25">
      <c r="A441" t="s">
        <v>9</v>
      </c>
      <c r="B441" s="3">
        <v>43922</v>
      </c>
      <c r="C441" s="9">
        <v>471.17</v>
      </c>
      <c r="D441">
        <v>1045</v>
      </c>
      <c r="E441" s="8">
        <v>2.217883141965745</v>
      </c>
      <c r="F441" s="7">
        <v>0.45088038277511966</v>
      </c>
      <c r="G441">
        <v>2020</v>
      </c>
    </row>
    <row r="442" spans="1:7" x14ac:dyDescent="0.25">
      <c r="A442" t="s">
        <v>9</v>
      </c>
      <c r="B442" s="3">
        <v>43952</v>
      </c>
      <c r="C442" s="9">
        <v>441.09</v>
      </c>
      <c r="D442">
        <v>1045</v>
      </c>
      <c r="E442" s="8">
        <v>2.3691310163458708</v>
      </c>
      <c r="F442" s="7">
        <v>0.4220956937799043</v>
      </c>
      <c r="G442">
        <v>2020</v>
      </c>
    </row>
    <row r="443" spans="1:7" x14ac:dyDescent="0.25">
      <c r="A443" t="s">
        <v>9</v>
      </c>
      <c r="B443" s="3">
        <v>43983</v>
      </c>
      <c r="C443" s="9">
        <v>450.45</v>
      </c>
      <c r="D443">
        <v>1045</v>
      </c>
      <c r="E443" s="8">
        <v>2.3199023199023201</v>
      </c>
      <c r="F443" s="7">
        <v>0.43105263157894735</v>
      </c>
      <c r="G443">
        <v>2020</v>
      </c>
    </row>
    <row r="444" spans="1:7" x14ac:dyDescent="0.25">
      <c r="A444" t="s">
        <v>9</v>
      </c>
      <c r="B444" s="3">
        <v>44013</v>
      </c>
      <c r="C444" s="9">
        <v>449.96</v>
      </c>
      <c r="D444">
        <v>1045</v>
      </c>
      <c r="E444" s="8">
        <v>2.3224286603253623</v>
      </c>
      <c r="F444" s="7">
        <v>0.43058373205741624</v>
      </c>
      <c r="G444">
        <v>2020</v>
      </c>
    </row>
    <row r="445" spans="1:7" x14ac:dyDescent="0.25">
      <c r="A445" t="s">
        <v>9</v>
      </c>
      <c r="B445" s="3">
        <v>44044</v>
      </c>
      <c r="C445" s="9">
        <v>443.28</v>
      </c>
      <c r="D445">
        <v>1045</v>
      </c>
      <c r="E445" s="8">
        <v>2.3574264573181738</v>
      </c>
      <c r="F445" s="7">
        <v>0.42419138755980856</v>
      </c>
      <c r="G445">
        <v>2020</v>
      </c>
    </row>
    <row r="446" spans="1:7" x14ac:dyDescent="0.25">
      <c r="A446" t="s">
        <v>9</v>
      </c>
      <c r="B446" s="3">
        <v>44075</v>
      </c>
      <c r="C446" s="9">
        <v>445.76</v>
      </c>
      <c r="D446">
        <v>1045</v>
      </c>
      <c r="E446" s="8">
        <v>2.344310839913855</v>
      </c>
      <c r="F446" s="7">
        <v>0.42656459330143542</v>
      </c>
      <c r="G446">
        <v>2020</v>
      </c>
    </row>
    <row r="447" spans="1:7" x14ac:dyDescent="0.25">
      <c r="A447" t="s">
        <v>9</v>
      </c>
      <c r="B447" s="3">
        <v>44105</v>
      </c>
      <c r="C447" s="9">
        <v>490.48</v>
      </c>
      <c r="D447">
        <v>1045</v>
      </c>
      <c r="E447" s="8">
        <v>2.1305659761865927</v>
      </c>
      <c r="F447" s="7">
        <v>0.46935885167464114</v>
      </c>
      <c r="G447">
        <v>2020</v>
      </c>
    </row>
    <row r="448" spans="1:7" x14ac:dyDescent="0.25">
      <c r="A448" t="s">
        <v>9</v>
      </c>
      <c r="B448" s="3">
        <v>44136</v>
      </c>
      <c r="C448" s="9">
        <v>572.64</v>
      </c>
      <c r="D448">
        <v>1045</v>
      </c>
      <c r="E448" s="8">
        <v>1.8248812517462978</v>
      </c>
      <c r="F448" s="7">
        <v>0.54798086124401912</v>
      </c>
      <c r="G448">
        <v>2020</v>
      </c>
    </row>
    <row r="449" spans="1:7" x14ac:dyDescent="0.25">
      <c r="A449" t="s">
        <v>9</v>
      </c>
      <c r="B449" s="3">
        <v>44166</v>
      </c>
      <c r="C449" s="9">
        <v>591.82000000000005</v>
      </c>
      <c r="D449">
        <v>1045</v>
      </c>
      <c r="E449" s="8">
        <v>1.7657395829813118</v>
      </c>
      <c r="F449" s="7">
        <v>0.56633492822966514</v>
      </c>
      <c r="G449">
        <v>2020</v>
      </c>
    </row>
    <row r="450" spans="1:7" x14ac:dyDescent="0.25">
      <c r="A450" t="s">
        <v>9</v>
      </c>
      <c r="B450" s="3">
        <v>44197</v>
      </c>
      <c r="C450" s="9">
        <v>614.30999999999995</v>
      </c>
      <c r="D450">
        <v>1100</v>
      </c>
      <c r="E450" s="8">
        <v>1.7906268821930298</v>
      </c>
      <c r="F450" s="7">
        <v>0.55846363636363627</v>
      </c>
      <c r="G450">
        <v>2021</v>
      </c>
    </row>
    <row r="451" spans="1:7" x14ac:dyDescent="0.25">
      <c r="A451" t="s">
        <v>9</v>
      </c>
      <c r="B451" s="3">
        <v>44228</v>
      </c>
      <c r="C451" s="9">
        <v>591.44000000000005</v>
      </c>
      <c r="D451">
        <v>1100</v>
      </c>
      <c r="E451" s="8">
        <v>1.8598674421750303</v>
      </c>
      <c r="F451" s="7">
        <v>0.5376727272727273</v>
      </c>
      <c r="G451">
        <v>2021</v>
      </c>
    </row>
    <row r="452" spans="1:7" x14ac:dyDescent="0.25">
      <c r="A452" t="s">
        <v>9</v>
      </c>
      <c r="B452" s="3">
        <v>44256</v>
      </c>
      <c r="C452" s="9">
        <v>580.76</v>
      </c>
      <c r="D452">
        <v>1100</v>
      </c>
      <c r="E452" s="8">
        <v>1.8940698395206281</v>
      </c>
      <c r="F452" s="7">
        <v>0.5279636363636363</v>
      </c>
      <c r="G452">
        <v>2021</v>
      </c>
    </row>
    <row r="453" spans="1:7" x14ac:dyDescent="0.25">
      <c r="A453" t="s">
        <v>9</v>
      </c>
      <c r="B453" s="3">
        <v>44287</v>
      </c>
      <c r="C453" s="9">
        <v>587.33000000000004</v>
      </c>
      <c r="D453">
        <v>1100</v>
      </c>
      <c r="E453" s="8">
        <v>1.8728823659612142</v>
      </c>
      <c r="F453" s="7">
        <v>0.53393636363636365</v>
      </c>
      <c r="G453">
        <v>2021</v>
      </c>
    </row>
    <row r="454" spans="1:7" x14ac:dyDescent="0.25">
      <c r="A454" t="s">
        <v>9</v>
      </c>
      <c r="B454" s="3">
        <v>44317</v>
      </c>
      <c r="C454" s="9">
        <v>588.24</v>
      </c>
      <c r="D454">
        <v>1100</v>
      </c>
      <c r="E454" s="8">
        <v>1.8699850401196789</v>
      </c>
      <c r="F454" s="7">
        <v>0.53476363636363633</v>
      </c>
      <c r="G454">
        <v>2021</v>
      </c>
    </row>
    <row r="455" spans="1:7" x14ac:dyDescent="0.25">
      <c r="A455" t="s">
        <v>9</v>
      </c>
      <c r="B455" s="3">
        <v>44348</v>
      </c>
      <c r="C455" s="9">
        <v>584.99</v>
      </c>
      <c r="D455">
        <v>1100</v>
      </c>
      <c r="E455" s="8">
        <v>1.880374023487581</v>
      </c>
      <c r="F455" s="7">
        <v>0.5318090909090909</v>
      </c>
      <c r="G455">
        <v>2021</v>
      </c>
    </row>
    <row r="456" spans="1:7" x14ac:dyDescent="0.25">
      <c r="A456" t="s">
        <v>9</v>
      </c>
      <c r="B456" s="3">
        <v>44378</v>
      </c>
      <c r="C456" s="9">
        <v>582.35</v>
      </c>
      <c r="D456">
        <v>1100</v>
      </c>
      <c r="E456" s="8">
        <v>1.8888984287799433</v>
      </c>
      <c r="F456" s="7">
        <v>0.52940909090909094</v>
      </c>
      <c r="G456">
        <v>2021</v>
      </c>
    </row>
    <row r="457" spans="1:7" x14ac:dyDescent="0.25">
      <c r="A457" t="s">
        <v>9</v>
      </c>
      <c r="B457" s="3">
        <v>44409</v>
      </c>
      <c r="C457" s="9">
        <v>594.59</v>
      </c>
      <c r="D457">
        <v>1100</v>
      </c>
      <c r="E457" s="8">
        <v>1.8500142955650112</v>
      </c>
      <c r="F457" s="7">
        <v>0.5405363636363637</v>
      </c>
      <c r="G457">
        <v>2021</v>
      </c>
    </row>
    <row r="458" spans="1:7" x14ac:dyDescent="0.25">
      <c r="A458" t="s">
        <v>9</v>
      </c>
      <c r="B458" s="3">
        <v>44440</v>
      </c>
      <c r="C458" s="9">
        <v>617.65</v>
      </c>
      <c r="D458">
        <v>1100</v>
      </c>
      <c r="E458" s="8">
        <v>1.7809439002671417</v>
      </c>
      <c r="F458" s="7">
        <v>0.5615</v>
      </c>
      <c r="G458">
        <v>2021</v>
      </c>
    </row>
    <row r="459" spans="1:7" x14ac:dyDescent="0.25">
      <c r="A459" t="s">
        <v>9</v>
      </c>
      <c r="B459" s="3">
        <v>44470</v>
      </c>
      <c r="C459" s="9">
        <v>644.09</v>
      </c>
      <c r="D459">
        <v>1100</v>
      </c>
      <c r="E459" s="8">
        <v>1.7078358614479343</v>
      </c>
      <c r="F459" s="7">
        <v>0.58553636363636363</v>
      </c>
      <c r="G459">
        <v>2021</v>
      </c>
    </row>
    <row r="460" spans="1:7" x14ac:dyDescent="0.25">
      <c r="A460" t="s">
        <v>9</v>
      </c>
      <c r="B460" s="3">
        <v>44501</v>
      </c>
      <c r="C460" s="9">
        <v>631.95000000000005</v>
      </c>
      <c r="D460">
        <v>1100</v>
      </c>
      <c r="E460" s="8">
        <v>1.7406440382941688</v>
      </c>
      <c r="F460" s="7">
        <v>0.57450000000000001</v>
      </c>
      <c r="G460">
        <v>2021</v>
      </c>
    </row>
    <row r="461" spans="1:7" x14ac:dyDescent="0.25">
      <c r="A461" t="s">
        <v>9</v>
      </c>
      <c r="B461" s="3">
        <v>44531</v>
      </c>
      <c r="C461" s="9">
        <v>621.55999999999995</v>
      </c>
      <c r="D461">
        <v>1100</v>
      </c>
      <c r="E461" s="8">
        <v>1.7697406525516444</v>
      </c>
      <c r="F461" s="7">
        <v>0.56505454545454536</v>
      </c>
      <c r="G461">
        <v>2021</v>
      </c>
    </row>
    <row r="462" spans="1:7" x14ac:dyDescent="0.25">
      <c r="A462" t="s">
        <v>9</v>
      </c>
      <c r="B462" s="3">
        <v>44562</v>
      </c>
      <c r="C462" s="9">
        <v>661.09</v>
      </c>
      <c r="D462">
        <v>1212</v>
      </c>
      <c r="E462" s="8">
        <v>1.833335854422242</v>
      </c>
      <c r="F462" s="7">
        <v>0.54545379537953798</v>
      </c>
      <c r="G462">
        <v>2022</v>
      </c>
    </row>
    <row r="463" spans="1:7" x14ac:dyDescent="0.25">
      <c r="A463" t="s">
        <v>9</v>
      </c>
      <c r="B463" s="3">
        <v>44593</v>
      </c>
      <c r="C463" s="9">
        <v>670.98</v>
      </c>
      <c r="D463">
        <v>1212</v>
      </c>
      <c r="E463" s="8">
        <v>1.8063131538943038</v>
      </c>
      <c r="F463" s="7">
        <v>0.55361386138613866</v>
      </c>
      <c r="G463">
        <v>2022</v>
      </c>
    </row>
    <row r="464" spans="1:7" x14ac:dyDescent="0.25">
      <c r="A464" t="s">
        <v>9</v>
      </c>
      <c r="B464" s="3">
        <v>44621</v>
      </c>
      <c r="C464" s="9">
        <v>704.65</v>
      </c>
      <c r="D464">
        <v>1212</v>
      </c>
      <c r="E464" s="8">
        <v>1.7200028382885122</v>
      </c>
      <c r="F464" s="7">
        <v>0.58139438943894384</v>
      </c>
      <c r="G464">
        <v>2022</v>
      </c>
    </row>
    <row r="465" spans="1:7" x14ac:dyDescent="0.25">
      <c r="A465" t="s">
        <v>9</v>
      </c>
      <c r="B465" s="3">
        <v>44652</v>
      </c>
      <c r="C465" s="9">
        <v>741.55</v>
      </c>
      <c r="D465">
        <v>1212</v>
      </c>
      <c r="E465" s="8">
        <v>1.6344144022655249</v>
      </c>
      <c r="F465" s="7">
        <v>0.61183993399339931</v>
      </c>
      <c r="G465">
        <v>2022</v>
      </c>
    </row>
    <row r="466" spans="1:7" x14ac:dyDescent="0.25">
      <c r="A466" t="s">
        <v>9</v>
      </c>
      <c r="B466" s="3">
        <v>44682</v>
      </c>
      <c r="C466" s="9">
        <v>696.34</v>
      </c>
      <c r="D466">
        <v>1212</v>
      </c>
      <c r="E466" s="8">
        <v>1.7405290518999339</v>
      </c>
      <c r="F466" s="7">
        <v>0.57453795379537953</v>
      </c>
      <c r="G466">
        <v>2022</v>
      </c>
    </row>
    <row r="467" spans="1:7" x14ac:dyDescent="0.25">
      <c r="A467" t="s">
        <v>9</v>
      </c>
      <c r="B467" s="3">
        <v>44713</v>
      </c>
      <c r="C467" s="9">
        <v>698.36</v>
      </c>
      <c r="D467">
        <v>1212</v>
      </c>
      <c r="E467" s="8">
        <v>1.7354945873188612</v>
      </c>
      <c r="F467" s="7">
        <v>0.57620462046204624</v>
      </c>
      <c r="G467">
        <v>2022</v>
      </c>
    </row>
    <row r="468" spans="1:7" x14ac:dyDescent="0.25">
      <c r="A468" t="s">
        <v>9</v>
      </c>
      <c r="B468" s="3">
        <v>44743</v>
      </c>
      <c r="C468" s="9">
        <v>703.93</v>
      </c>
      <c r="D468">
        <v>1212</v>
      </c>
      <c r="E468" s="8">
        <v>1.7217621070276876</v>
      </c>
      <c r="F468" s="7">
        <v>0.58080033003300324</v>
      </c>
      <c r="G468">
        <v>2022</v>
      </c>
    </row>
    <row r="469" spans="1:7" x14ac:dyDescent="0.25">
      <c r="A469" t="s">
        <v>9</v>
      </c>
      <c r="B469" s="3">
        <v>44774</v>
      </c>
      <c r="C469" s="9">
        <v>689.31</v>
      </c>
      <c r="D469">
        <v>1212</v>
      </c>
      <c r="E469" s="8">
        <v>1.7582800191495844</v>
      </c>
      <c r="F469" s="7">
        <v>0.56873762376237624</v>
      </c>
      <c r="G469">
        <v>2022</v>
      </c>
    </row>
    <row r="470" spans="1:7" x14ac:dyDescent="0.25">
      <c r="A470" t="s">
        <v>9</v>
      </c>
      <c r="B470" s="3">
        <v>44805</v>
      </c>
      <c r="C470" s="9">
        <v>687.21</v>
      </c>
      <c r="D470">
        <v>1212</v>
      </c>
      <c r="E470" s="8">
        <v>1.7636530318243331</v>
      </c>
      <c r="F470" s="7">
        <v>0.56700495049504951</v>
      </c>
      <c r="G470">
        <v>2022</v>
      </c>
    </row>
    <row r="471" spans="1:7" x14ac:dyDescent="0.25">
      <c r="A471" t="s">
        <v>9</v>
      </c>
      <c r="B471" s="3">
        <v>44835</v>
      </c>
      <c r="C471" s="9">
        <v>699.09</v>
      </c>
      <c r="D471">
        <v>1212</v>
      </c>
      <c r="E471" s="8">
        <v>1.7336823584946144</v>
      </c>
      <c r="F471" s="7">
        <v>0.57680693069306932</v>
      </c>
      <c r="G471">
        <v>2022</v>
      </c>
    </row>
    <row r="472" spans="1:7" x14ac:dyDescent="0.25">
      <c r="A472" t="s">
        <v>9</v>
      </c>
      <c r="B472" s="3">
        <v>44866</v>
      </c>
      <c r="C472" s="9">
        <v>712.2</v>
      </c>
      <c r="D472">
        <v>1212</v>
      </c>
      <c r="E472" s="8">
        <v>1.7017691659646166</v>
      </c>
      <c r="F472" s="7">
        <v>0.5876237623762377</v>
      </c>
      <c r="G472">
        <v>2022</v>
      </c>
    </row>
    <row r="473" spans="1:7" x14ac:dyDescent="0.25">
      <c r="A473" t="s">
        <v>9</v>
      </c>
      <c r="B473" s="3">
        <v>44896</v>
      </c>
      <c r="C473" s="9">
        <v>728.78</v>
      </c>
      <c r="D473">
        <v>1212</v>
      </c>
      <c r="E473" s="8">
        <v>1.6630533219901755</v>
      </c>
      <c r="F473" s="7">
        <v>0.60130363036303625</v>
      </c>
      <c r="G473">
        <v>2022</v>
      </c>
    </row>
    <row r="474" spans="1:7" x14ac:dyDescent="0.25">
      <c r="A474" t="s">
        <v>9</v>
      </c>
      <c r="B474" s="3">
        <v>44927</v>
      </c>
      <c r="C474" s="9">
        <v>729.73</v>
      </c>
      <c r="D474">
        <v>1302</v>
      </c>
      <c r="E474" s="8">
        <v>1.7842215613994217</v>
      </c>
      <c r="F474" s="7">
        <v>0.56046850998463904</v>
      </c>
      <c r="G474">
        <v>2023</v>
      </c>
    </row>
    <row r="475" spans="1:7" x14ac:dyDescent="0.25">
      <c r="A475" t="s">
        <v>9</v>
      </c>
      <c r="B475" s="3">
        <v>44958</v>
      </c>
      <c r="C475" s="9">
        <v>719.74</v>
      </c>
      <c r="D475">
        <v>1302</v>
      </c>
      <c r="E475" s="8">
        <v>1.8089865784866757</v>
      </c>
      <c r="F475" s="7">
        <v>0.55279569892473124</v>
      </c>
      <c r="G475">
        <v>2023</v>
      </c>
    </row>
    <row r="476" spans="1:7" x14ac:dyDescent="0.25">
      <c r="A476" t="s">
        <v>9</v>
      </c>
      <c r="B476" s="3">
        <v>44986</v>
      </c>
      <c r="C476" s="9">
        <v>693.32</v>
      </c>
      <c r="D476">
        <v>1302</v>
      </c>
      <c r="E476" s="8">
        <v>1.877920729244793</v>
      </c>
      <c r="F476" s="7">
        <v>0.53250384024577579</v>
      </c>
      <c r="G476">
        <v>2023</v>
      </c>
    </row>
    <row r="477" spans="1:7" x14ac:dyDescent="0.25">
      <c r="A477" t="s">
        <v>9</v>
      </c>
      <c r="B477" s="3">
        <v>45017</v>
      </c>
      <c r="C477" s="9">
        <v>717.09</v>
      </c>
      <c r="D477">
        <v>1302</v>
      </c>
      <c r="E477" s="8">
        <v>1.8156716730117557</v>
      </c>
      <c r="F477" s="7">
        <v>0.55076036866359446</v>
      </c>
      <c r="G477">
        <v>2023</v>
      </c>
    </row>
    <row r="478" spans="1:7" x14ac:dyDescent="0.25">
      <c r="A478" t="s">
        <v>9</v>
      </c>
      <c r="B478" s="3">
        <v>45047</v>
      </c>
      <c r="C478" s="9">
        <v>703.43</v>
      </c>
      <c r="D478">
        <v>1320</v>
      </c>
      <c r="E478" s="8">
        <v>1.8765193409436618</v>
      </c>
      <c r="F478" s="7">
        <v>0.53290151515151507</v>
      </c>
      <c r="G478">
        <v>2023</v>
      </c>
    </row>
    <row r="479" spans="1:7" x14ac:dyDescent="0.25">
      <c r="A479" t="s">
        <v>9</v>
      </c>
      <c r="B479" s="3">
        <v>45078</v>
      </c>
      <c r="C479" s="9">
        <v>687.33</v>
      </c>
      <c r="D479">
        <v>1320</v>
      </c>
      <c r="E479" s="8">
        <v>1.9204748810614987</v>
      </c>
      <c r="F479" s="7">
        <v>0.52070454545454548</v>
      </c>
      <c r="G479">
        <v>2023</v>
      </c>
    </row>
    <row r="480" spans="1:7" x14ac:dyDescent="0.25">
      <c r="A480" t="s">
        <v>9</v>
      </c>
      <c r="B480" s="3">
        <v>45108</v>
      </c>
      <c r="C480" s="9">
        <v>687.58</v>
      </c>
      <c r="D480">
        <v>1320</v>
      </c>
      <c r="E480" s="8">
        <v>1.9197766078129088</v>
      </c>
      <c r="F480" s="7">
        <v>0.52089393939393946</v>
      </c>
      <c r="G480">
        <v>2023</v>
      </c>
    </row>
    <row r="481" spans="1:7" x14ac:dyDescent="0.25">
      <c r="A481" t="s">
        <v>9</v>
      </c>
      <c r="B481" s="3">
        <v>45139</v>
      </c>
      <c r="C481" s="9">
        <v>689.98</v>
      </c>
      <c r="D481">
        <v>1320</v>
      </c>
      <c r="E481" s="8">
        <v>1.9130989304037798</v>
      </c>
      <c r="F481" s="7">
        <v>0.52271212121212118</v>
      </c>
      <c r="G481">
        <v>2023</v>
      </c>
    </row>
    <row r="482" spans="1:7" x14ac:dyDescent="0.25">
      <c r="A482" t="s">
        <v>9</v>
      </c>
      <c r="B482" s="3">
        <v>45170</v>
      </c>
      <c r="C482" s="9">
        <v>662.2</v>
      </c>
      <c r="D482">
        <v>1320</v>
      </c>
      <c r="E482" s="8">
        <v>1.9933554817275747</v>
      </c>
      <c r="F482" s="7">
        <v>0.50166666666666671</v>
      </c>
      <c r="G482">
        <v>2023</v>
      </c>
    </row>
    <row r="483" spans="1:7" x14ac:dyDescent="0.25">
      <c r="A483" t="s">
        <v>9</v>
      </c>
      <c r="B483" s="3">
        <v>45200</v>
      </c>
      <c r="C483" s="9">
        <v>647.76</v>
      </c>
      <c r="D483">
        <v>1320</v>
      </c>
      <c r="E483" s="8">
        <v>2.0377917747313821</v>
      </c>
      <c r="F483" s="7">
        <v>0.49072727272727273</v>
      </c>
      <c r="G483">
        <v>2023</v>
      </c>
    </row>
    <row r="484" spans="1:7" x14ac:dyDescent="0.25">
      <c r="A484" t="s">
        <v>9</v>
      </c>
      <c r="B484" s="3">
        <v>45231</v>
      </c>
      <c r="C484" s="9">
        <v>667.58</v>
      </c>
      <c r="D484">
        <v>1320</v>
      </c>
      <c r="E484" s="8">
        <v>1.9772911111776865</v>
      </c>
      <c r="F484" s="7">
        <v>0.50574242424242433</v>
      </c>
      <c r="G484">
        <v>2023</v>
      </c>
    </row>
    <row r="485" spans="1:7" x14ac:dyDescent="0.25">
      <c r="A485" t="s">
        <v>9</v>
      </c>
      <c r="B485" s="3">
        <v>45261</v>
      </c>
      <c r="C485" s="9">
        <v>698.74</v>
      </c>
      <c r="D485">
        <v>1320</v>
      </c>
      <c r="E485" s="8">
        <v>1.889114692160174</v>
      </c>
      <c r="F485" s="7">
        <v>0.52934848484848485</v>
      </c>
      <c r="G485">
        <v>2023</v>
      </c>
    </row>
    <row r="486" spans="1:7" x14ac:dyDescent="0.25">
      <c r="A486" t="s">
        <v>9</v>
      </c>
      <c r="B486" s="3">
        <v>45292</v>
      </c>
      <c r="C486" s="9">
        <v>742.52</v>
      </c>
      <c r="D486">
        <v>1412</v>
      </c>
      <c r="E486" s="8">
        <v>1.901632279265205</v>
      </c>
      <c r="F486" s="7">
        <v>0.52586402266288945</v>
      </c>
      <c r="G486">
        <v>2024</v>
      </c>
    </row>
    <row r="487" spans="1:7" x14ac:dyDescent="0.25">
      <c r="A487" t="s">
        <v>9</v>
      </c>
      <c r="B487" s="3">
        <v>45323</v>
      </c>
      <c r="C487" s="9">
        <v>741.91</v>
      </c>
      <c r="D487">
        <v>1412</v>
      </c>
      <c r="E487" s="8">
        <v>1.9031958054211429</v>
      </c>
      <c r="F487" s="7">
        <v>0.52543201133144468</v>
      </c>
      <c r="G487">
        <v>2024</v>
      </c>
    </row>
    <row r="488" spans="1:7" x14ac:dyDescent="0.25">
      <c r="A488" t="s">
        <v>9</v>
      </c>
      <c r="B488" s="3">
        <v>45352</v>
      </c>
      <c r="C488" s="9">
        <v>747.68</v>
      </c>
      <c r="D488">
        <v>1412</v>
      </c>
      <c r="E488" s="8">
        <v>1.8885084528140381</v>
      </c>
      <c r="F488" s="7">
        <v>0.52951841359773366</v>
      </c>
      <c r="G488">
        <v>2024</v>
      </c>
    </row>
    <row r="489" spans="1:7" x14ac:dyDescent="0.25">
      <c r="A489" t="s">
        <v>9</v>
      </c>
      <c r="B489" s="3">
        <v>45383</v>
      </c>
      <c r="C489" s="9">
        <v>727.95</v>
      </c>
      <c r="D489">
        <v>1412</v>
      </c>
      <c r="E489" s="8">
        <v>1.9396936602788653</v>
      </c>
      <c r="F489" s="7">
        <v>0.51554532577903689</v>
      </c>
      <c r="G489">
        <v>2024</v>
      </c>
    </row>
    <row r="490" spans="1:7" x14ac:dyDescent="0.25">
      <c r="A490" t="s">
        <v>9</v>
      </c>
      <c r="B490" s="3">
        <v>45413</v>
      </c>
      <c r="C490" s="9">
        <v>737.37</v>
      </c>
      <c r="D490">
        <v>1412</v>
      </c>
      <c r="E490" s="8">
        <v>1.9149138153165981</v>
      </c>
      <c r="F490" s="7">
        <v>0.52221671388101987</v>
      </c>
      <c r="G490">
        <v>2024</v>
      </c>
    </row>
    <row r="491" spans="1:7" x14ac:dyDescent="0.25">
      <c r="A491" t="s">
        <v>9</v>
      </c>
      <c r="B491" s="3">
        <v>45444</v>
      </c>
      <c r="C491" s="9">
        <v>738.93</v>
      </c>
      <c r="D491">
        <v>1412</v>
      </c>
      <c r="E491" s="8">
        <v>1.9108711244637517</v>
      </c>
      <c r="F491" s="7">
        <v>0.52332152974504242</v>
      </c>
      <c r="G491">
        <v>2024</v>
      </c>
    </row>
    <row r="492" spans="1:7" x14ac:dyDescent="0.25">
      <c r="A492" t="s">
        <v>9</v>
      </c>
      <c r="B492" s="3">
        <v>45474</v>
      </c>
      <c r="C492" s="9">
        <v>694.31</v>
      </c>
      <c r="D492">
        <v>1412</v>
      </c>
      <c r="E492" s="8">
        <v>2.0336737192320435</v>
      </c>
      <c r="F492" s="7">
        <v>0.4917209631728045</v>
      </c>
      <c r="G492">
        <v>2024</v>
      </c>
    </row>
    <row r="493" spans="1:7" x14ac:dyDescent="0.25">
      <c r="A493" t="s">
        <v>9</v>
      </c>
      <c r="B493" s="3">
        <v>45505</v>
      </c>
      <c r="C493" s="9">
        <v>673.14</v>
      </c>
      <c r="D493">
        <v>1412</v>
      </c>
      <c r="E493" s="8">
        <v>2.0976319933446237</v>
      </c>
      <c r="F493" s="7">
        <v>0.476728045325779</v>
      </c>
      <c r="G493">
        <v>2024</v>
      </c>
    </row>
    <row r="494" spans="1:7" x14ac:dyDescent="0.25">
      <c r="A494" t="s">
        <v>9</v>
      </c>
      <c r="B494" s="3">
        <v>45536</v>
      </c>
      <c r="C494" s="9">
        <v>682.51</v>
      </c>
      <c r="D494">
        <v>1412</v>
      </c>
      <c r="E494" s="8">
        <v>2.0688341562760986</v>
      </c>
      <c r="F494" s="7">
        <v>0.48336402266288953</v>
      </c>
      <c r="G494">
        <v>2024</v>
      </c>
    </row>
    <row r="495" spans="1:7" x14ac:dyDescent="0.25">
      <c r="A495" t="s">
        <v>9</v>
      </c>
      <c r="B495" s="3">
        <v>45566</v>
      </c>
      <c r="C495" s="9">
        <v>711.05</v>
      </c>
      <c r="D495">
        <v>1412</v>
      </c>
      <c r="E495" s="8">
        <v>1.9857956543140427</v>
      </c>
      <c r="F495" s="7">
        <v>0.50357648725212456</v>
      </c>
      <c r="G495">
        <v>2024</v>
      </c>
    </row>
    <row r="496" spans="1:7" x14ac:dyDescent="0.25">
      <c r="A496" t="s">
        <v>9</v>
      </c>
      <c r="B496" s="3">
        <v>45597</v>
      </c>
      <c r="C496" s="9">
        <v>742.25</v>
      </c>
      <c r="D496">
        <v>1412</v>
      </c>
      <c r="E496" s="8">
        <v>1.9023240148198046</v>
      </c>
      <c r="F496" s="7">
        <v>0.52567280453257792</v>
      </c>
      <c r="G496">
        <v>2024</v>
      </c>
    </row>
    <row r="497" spans="1:7" x14ac:dyDescent="0.25">
      <c r="A497" t="s">
        <v>9</v>
      </c>
      <c r="B497" s="3">
        <v>45627</v>
      </c>
      <c r="C497" s="9">
        <v>743.19</v>
      </c>
      <c r="D497">
        <v>1412</v>
      </c>
      <c r="E497" s="8">
        <v>1.8999179213929143</v>
      </c>
      <c r="F497" s="7">
        <v>0.5263385269121813</v>
      </c>
      <c r="G497">
        <v>2024</v>
      </c>
    </row>
    <row r="498" spans="1:7" x14ac:dyDescent="0.25">
      <c r="A498" t="s">
        <v>9</v>
      </c>
      <c r="B498" s="3">
        <v>45658</v>
      </c>
      <c r="C498" s="9">
        <v>756.03</v>
      </c>
      <c r="D498">
        <v>1518</v>
      </c>
      <c r="E498" s="8">
        <v>2.007856831078132</v>
      </c>
      <c r="F498" s="7">
        <v>0.49804347826086953</v>
      </c>
      <c r="G498">
        <v>2025</v>
      </c>
    </row>
    <row r="499" spans="1:7" x14ac:dyDescent="0.25">
      <c r="A499" t="s">
        <v>9</v>
      </c>
      <c r="B499" s="3">
        <v>45689</v>
      </c>
      <c r="C499" s="9">
        <v>772.3</v>
      </c>
      <c r="D499">
        <v>1518</v>
      </c>
      <c r="E499" s="8">
        <v>1.9655574258707758</v>
      </c>
      <c r="F499" s="7">
        <v>0.5087615283267457</v>
      </c>
      <c r="G499">
        <v>2025</v>
      </c>
    </row>
    <row r="500" spans="1:7" x14ac:dyDescent="0.25">
      <c r="A500" t="s">
        <v>9</v>
      </c>
      <c r="B500" s="3">
        <v>45717</v>
      </c>
      <c r="C500" s="9">
        <v>782.65</v>
      </c>
      <c r="D500">
        <v>1518</v>
      </c>
      <c r="E500" s="8">
        <v>1.9395643007730148</v>
      </c>
      <c r="F500" s="7">
        <v>0.51557971014492754</v>
      </c>
      <c r="G500">
        <v>2025</v>
      </c>
    </row>
    <row r="501" spans="1:7" x14ac:dyDescent="0.25">
      <c r="A501" t="s">
        <v>9</v>
      </c>
      <c r="B501" s="3">
        <v>45748</v>
      </c>
      <c r="C501" s="9">
        <v>775.84</v>
      </c>
      <c r="D501">
        <v>1518</v>
      </c>
      <c r="E501" s="8">
        <v>1.9565889874200866</v>
      </c>
      <c r="F501" s="7">
        <v>0.51109354413702246</v>
      </c>
      <c r="G501">
        <v>2025</v>
      </c>
    </row>
    <row r="502" spans="1:7" x14ac:dyDescent="0.25">
      <c r="A502" t="s">
        <v>9</v>
      </c>
      <c r="B502" s="3">
        <v>45778</v>
      </c>
      <c r="C502" s="9">
        <v>774.33</v>
      </c>
      <c r="D502">
        <v>1518</v>
      </c>
      <c r="E502" s="8">
        <v>1.9604044787106272</v>
      </c>
      <c r="F502" s="7">
        <v>0.51009881422924908</v>
      </c>
      <c r="G502">
        <v>2025</v>
      </c>
    </row>
    <row r="503" spans="1:7" x14ac:dyDescent="0.25">
      <c r="A503" t="s">
        <v>9</v>
      </c>
      <c r="B503" s="3">
        <v>45809</v>
      </c>
      <c r="C503" s="9">
        <v>773.35</v>
      </c>
      <c r="D503">
        <v>1518</v>
      </c>
      <c r="E503" s="8">
        <v>1.9628887308463179</v>
      </c>
      <c r="F503" s="7">
        <v>0.50945322793148884</v>
      </c>
      <c r="G503">
        <v>2025</v>
      </c>
    </row>
    <row r="504" spans="1:7" x14ac:dyDescent="0.25">
      <c r="A504" t="s">
        <v>10</v>
      </c>
      <c r="B504" s="3">
        <v>42005</v>
      </c>
      <c r="C504" s="9">
        <v>335.82</v>
      </c>
      <c r="D504">
        <v>788</v>
      </c>
      <c r="E504" s="8">
        <v>2.3464951462092789</v>
      </c>
      <c r="F504" s="7">
        <v>0.4261675126903553</v>
      </c>
      <c r="G504">
        <v>2015</v>
      </c>
    </row>
    <row r="505" spans="1:7" x14ac:dyDescent="0.25">
      <c r="A505" t="s">
        <v>10</v>
      </c>
      <c r="B505" s="3">
        <v>42036</v>
      </c>
      <c r="C505" s="9">
        <v>341.64</v>
      </c>
      <c r="D505">
        <v>788</v>
      </c>
      <c r="E505" s="8">
        <v>2.3065214846036763</v>
      </c>
      <c r="F505" s="7">
        <v>0.43355329949238575</v>
      </c>
      <c r="G505">
        <v>2015</v>
      </c>
    </row>
    <row r="506" spans="1:7" x14ac:dyDescent="0.25">
      <c r="A506" t="s">
        <v>10</v>
      </c>
      <c r="B506" s="3">
        <v>42064</v>
      </c>
      <c r="C506" s="9">
        <v>349.69</v>
      </c>
      <c r="D506">
        <v>788</v>
      </c>
      <c r="E506" s="8">
        <v>2.253424461666047</v>
      </c>
      <c r="F506" s="7">
        <v>0.4437690355329949</v>
      </c>
      <c r="G506">
        <v>2015</v>
      </c>
    </row>
    <row r="507" spans="1:7" x14ac:dyDescent="0.25">
      <c r="A507" t="s">
        <v>10</v>
      </c>
      <c r="B507" s="3">
        <v>42095</v>
      </c>
      <c r="C507" s="9">
        <v>359.39</v>
      </c>
      <c r="D507">
        <v>788</v>
      </c>
      <c r="E507" s="8">
        <v>2.1926041347839393</v>
      </c>
      <c r="F507" s="7">
        <v>0.45607868020304565</v>
      </c>
      <c r="G507">
        <v>2015</v>
      </c>
    </row>
    <row r="508" spans="1:7" x14ac:dyDescent="0.25">
      <c r="A508" t="s">
        <v>10</v>
      </c>
      <c r="B508" s="3">
        <v>42125</v>
      </c>
      <c r="C508" s="9">
        <v>364.8</v>
      </c>
      <c r="D508">
        <v>788</v>
      </c>
      <c r="E508" s="8">
        <v>2.1600877192982457</v>
      </c>
      <c r="F508" s="7">
        <v>0.46294416243654823</v>
      </c>
      <c r="G508">
        <v>2015</v>
      </c>
    </row>
    <row r="509" spans="1:7" x14ac:dyDescent="0.25">
      <c r="A509" t="s">
        <v>10</v>
      </c>
      <c r="B509" s="3">
        <v>42156</v>
      </c>
      <c r="C509" s="9">
        <v>359.69</v>
      </c>
      <c r="D509">
        <v>788</v>
      </c>
      <c r="E509" s="8">
        <v>2.1907753899190969</v>
      </c>
      <c r="F509" s="7">
        <v>0.45645939086294418</v>
      </c>
      <c r="G509">
        <v>2015</v>
      </c>
    </row>
    <row r="510" spans="1:7" x14ac:dyDescent="0.25">
      <c r="A510" t="s">
        <v>10</v>
      </c>
      <c r="B510" s="3">
        <v>42186</v>
      </c>
      <c r="C510" s="9">
        <v>360.28</v>
      </c>
      <c r="D510">
        <v>788</v>
      </c>
      <c r="E510" s="8">
        <v>2.1871877428666595</v>
      </c>
      <c r="F510" s="7">
        <v>0.45720812182741111</v>
      </c>
      <c r="G510">
        <v>2015</v>
      </c>
    </row>
    <row r="511" spans="1:7" x14ac:dyDescent="0.25">
      <c r="A511" t="s">
        <v>10</v>
      </c>
      <c r="B511" s="3">
        <v>42217</v>
      </c>
      <c r="C511" s="9">
        <v>354.94</v>
      </c>
      <c r="D511">
        <v>788</v>
      </c>
      <c r="E511" s="8">
        <v>2.2200935369358201</v>
      </c>
      <c r="F511" s="7">
        <v>0.45043147208121825</v>
      </c>
      <c r="G511">
        <v>2015</v>
      </c>
    </row>
    <row r="512" spans="1:7" x14ac:dyDescent="0.25">
      <c r="A512" t="s">
        <v>10</v>
      </c>
      <c r="B512" s="3">
        <v>42248</v>
      </c>
      <c r="C512" s="9">
        <v>356.51</v>
      </c>
      <c r="D512">
        <v>788</v>
      </c>
      <c r="E512" s="8">
        <v>2.2103166811590138</v>
      </c>
      <c r="F512" s="7">
        <v>0.45242385786802031</v>
      </c>
      <c r="G512">
        <v>2015</v>
      </c>
    </row>
    <row r="513" spans="1:7" x14ac:dyDescent="0.25">
      <c r="A513" t="s">
        <v>10</v>
      </c>
      <c r="B513" s="3">
        <v>42278</v>
      </c>
      <c r="C513" s="9">
        <v>349.93</v>
      </c>
      <c r="D513">
        <v>788</v>
      </c>
      <c r="E513" s="8">
        <v>2.2518789472180152</v>
      </c>
      <c r="F513" s="7">
        <v>0.44407360406091373</v>
      </c>
      <c r="G513">
        <v>2015</v>
      </c>
    </row>
    <row r="514" spans="1:7" x14ac:dyDescent="0.25">
      <c r="A514" t="s">
        <v>10</v>
      </c>
      <c r="B514" s="3">
        <v>42309</v>
      </c>
      <c r="C514" s="9">
        <v>375.26</v>
      </c>
      <c r="D514">
        <v>788</v>
      </c>
      <c r="E514" s="8">
        <v>2.0998774183232958</v>
      </c>
      <c r="F514" s="7">
        <v>0.47621827411167511</v>
      </c>
      <c r="G514">
        <v>2015</v>
      </c>
    </row>
    <row r="515" spans="1:7" x14ac:dyDescent="0.25">
      <c r="A515" t="s">
        <v>10</v>
      </c>
      <c r="B515" s="3">
        <v>42339</v>
      </c>
      <c r="C515" s="9">
        <v>387.79</v>
      </c>
      <c r="D515">
        <v>788</v>
      </c>
      <c r="E515" s="8">
        <v>2.0320276438278451</v>
      </c>
      <c r="F515" s="7">
        <v>0.49211928934010157</v>
      </c>
      <c r="G515">
        <v>2015</v>
      </c>
    </row>
    <row r="516" spans="1:7" x14ac:dyDescent="0.25">
      <c r="A516" t="s">
        <v>10</v>
      </c>
      <c r="B516" s="3">
        <v>42370</v>
      </c>
      <c r="C516" s="9">
        <v>398.46</v>
      </c>
      <c r="D516">
        <v>880</v>
      </c>
      <c r="E516" s="8">
        <v>2.2085027355317974</v>
      </c>
      <c r="F516" s="7">
        <v>0.4527954545454545</v>
      </c>
      <c r="G516">
        <v>2016</v>
      </c>
    </row>
    <row r="517" spans="1:7" x14ac:dyDescent="0.25">
      <c r="A517" t="s">
        <v>10</v>
      </c>
      <c r="B517" s="3">
        <v>42401</v>
      </c>
      <c r="C517" s="9">
        <v>392.75</v>
      </c>
      <c r="D517">
        <v>880</v>
      </c>
      <c r="E517" s="8">
        <v>2.2406110757479314</v>
      </c>
      <c r="F517" s="7">
        <v>0.44630681818181817</v>
      </c>
      <c r="G517">
        <v>2016</v>
      </c>
    </row>
    <row r="518" spans="1:7" x14ac:dyDescent="0.25">
      <c r="A518" t="s">
        <v>10</v>
      </c>
      <c r="B518" s="3">
        <v>42430</v>
      </c>
      <c r="C518" s="9">
        <v>400.78</v>
      </c>
      <c r="D518">
        <v>880</v>
      </c>
      <c r="E518" s="8">
        <v>2.1957183492190229</v>
      </c>
      <c r="F518" s="7">
        <v>0.45543181818181816</v>
      </c>
      <c r="G518">
        <v>2016</v>
      </c>
    </row>
    <row r="519" spans="1:7" x14ac:dyDescent="0.25">
      <c r="A519" t="s">
        <v>10</v>
      </c>
      <c r="B519" s="3">
        <v>42461</v>
      </c>
      <c r="C519" s="9">
        <v>396.34</v>
      </c>
      <c r="D519">
        <v>880</v>
      </c>
      <c r="E519" s="8">
        <v>2.2203158903971341</v>
      </c>
      <c r="F519" s="7">
        <v>0.45038636363636358</v>
      </c>
      <c r="G519">
        <v>2016</v>
      </c>
    </row>
    <row r="520" spans="1:7" x14ac:dyDescent="0.25">
      <c r="A520" t="s">
        <v>10</v>
      </c>
      <c r="B520" s="3">
        <v>42491</v>
      </c>
      <c r="C520" s="9">
        <v>410.05</v>
      </c>
      <c r="D520">
        <v>880</v>
      </c>
      <c r="E520" s="8">
        <v>2.1460797463723935</v>
      </c>
      <c r="F520" s="7">
        <v>0.46596590909090913</v>
      </c>
      <c r="G520">
        <v>2016</v>
      </c>
    </row>
    <row r="521" spans="1:7" x14ac:dyDescent="0.25">
      <c r="A521" t="s">
        <v>10</v>
      </c>
      <c r="B521" s="3">
        <v>42522</v>
      </c>
      <c r="C521" s="9">
        <v>416.49</v>
      </c>
      <c r="D521">
        <v>880</v>
      </c>
      <c r="E521" s="8">
        <v>2.1128958678479677</v>
      </c>
      <c r="F521" s="7">
        <v>0.4732840909090909</v>
      </c>
      <c r="G521">
        <v>2016</v>
      </c>
    </row>
    <row r="522" spans="1:7" x14ac:dyDescent="0.25">
      <c r="A522" t="s">
        <v>10</v>
      </c>
      <c r="B522" s="3">
        <v>42552</v>
      </c>
      <c r="C522" s="9">
        <v>420.24</v>
      </c>
      <c r="D522">
        <v>880</v>
      </c>
      <c r="E522" s="8">
        <v>2.0940415000951837</v>
      </c>
      <c r="F522" s="7">
        <v>0.47754545454545455</v>
      </c>
      <c r="G522">
        <v>2016</v>
      </c>
    </row>
    <row r="523" spans="1:7" x14ac:dyDescent="0.25">
      <c r="A523" t="s">
        <v>10</v>
      </c>
      <c r="B523" s="3">
        <v>42583</v>
      </c>
      <c r="C523" s="9">
        <v>431.14</v>
      </c>
      <c r="D523">
        <v>880</v>
      </c>
      <c r="E523" s="8">
        <v>2.0411003386371016</v>
      </c>
      <c r="F523" s="7">
        <v>0.48993181818181819</v>
      </c>
      <c r="G523">
        <v>2016</v>
      </c>
    </row>
    <row r="524" spans="1:7" x14ac:dyDescent="0.25">
      <c r="A524" t="s">
        <v>10</v>
      </c>
      <c r="B524" s="3">
        <v>42614</v>
      </c>
      <c r="C524" s="9">
        <v>424.87</v>
      </c>
      <c r="D524">
        <v>880</v>
      </c>
      <c r="E524" s="8">
        <v>2.0712217854873254</v>
      </c>
      <c r="F524" s="7">
        <v>0.4828068181818182</v>
      </c>
      <c r="G524">
        <v>2016</v>
      </c>
    </row>
    <row r="525" spans="1:7" x14ac:dyDescent="0.25">
      <c r="A525" t="s">
        <v>10</v>
      </c>
      <c r="B525" s="3">
        <v>42644</v>
      </c>
      <c r="C525" s="9">
        <v>432.98</v>
      </c>
      <c r="D525">
        <v>880</v>
      </c>
      <c r="E525" s="8">
        <v>2.0324264400203242</v>
      </c>
      <c r="F525" s="7">
        <v>0.49202272727272728</v>
      </c>
      <c r="G525">
        <v>2016</v>
      </c>
    </row>
    <row r="526" spans="1:7" x14ac:dyDescent="0.25">
      <c r="A526" t="s">
        <v>10</v>
      </c>
      <c r="B526" s="3">
        <v>42675</v>
      </c>
      <c r="C526" s="9">
        <v>421.38</v>
      </c>
      <c r="D526">
        <v>880</v>
      </c>
      <c r="E526" s="8">
        <v>2.0883762874365179</v>
      </c>
      <c r="F526" s="7">
        <v>0.47884090909090909</v>
      </c>
      <c r="G526">
        <v>2016</v>
      </c>
    </row>
    <row r="527" spans="1:7" x14ac:dyDescent="0.25">
      <c r="A527" t="s">
        <v>10</v>
      </c>
      <c r="B527" s="3">
        <v>42705</v>
      </c>
      <c r="C527" s="9">
        <v>409.86</v>
      </c>
      <c r="D527">
        <v>880</v>
      </c>
      <c r="E527" s="8">
        <v>2.1470746108427265</v>
      </c>
      <c r="F527" s="7">
        <v>0.46575</v>
      </c>
      <c r="G527">
        <v>2016</v>
      </c>
    </row>
    <row r="528" spans="1:7" x14ac:dyDescent="0.25">
      <c r="A528" t="s">
        <v>10</v>
      </c>
      <c r="B528" s="3">
        <v>42736</v>
      </c>
      <c r="C528" s="9">
        <v>397.69</v>
      </c>
      <c r="D528">
        <v>937</v>
      </c>
      <c r="E528" s="8">
        <v>2.3561065151248459</v>
      </c>
      <c r="F528" s="7">
        <v>0.4244290288153682</v>
      </c>
      <c r="G528">
        <v>2017</v>
      </c>
    </row>
    <row r="529" spans="1:7" x14ac:dyDescent="0.25">
      <c r="A529" t="s">
        <v>10</v>
      </c>
      <c r="B529" s="3">
        <v>42767</v>
      </c>
      <c r="C529" s="9">
        <v>387.27</v>
      </c>
      <c r="D529">
        <v>937</v>
      </c>
      <c r="E529" s="8">
        <v>2.419500606811785</v>
      </c>
      <c r="F529" s="7">
        <v>0.41330843116328708</v>
      </c>
      <c r="G529">
        <v>2017</v>
      </c>
    </row>
    <row r="530" spans="1:7" x14ac:dyDescent="0.25">
      <c r="A530" t="s">
        <v>10</v>
      </c>
      <c r="B530" s="3">
        <v>42795</v>
      </c>
      <c r="C530" s="9">
        <v>389.52</v>
      </c>
      <c r="D530">
        <v>937</v>
      </c>
      <c r="E530" s="8">
        <v>2.4055247484082973</v>
      </c>
      <c r="F530" s="7">
        <v>0.415709711846318</v>
      </c>
      <c r="G530">
        <v>2017</v>
      </c>
    </row>
    <row r="531" spans="1:7" x14ac:dyDescent="0.25">
      <c r="A531" t="s">
        <v>10</v>
      </c>
      <c r="B531" s="3">
        <v>42826</v>
      </c>
      <c r="C531" s="9">
        <v>404.55</v>
      </c>
      <c r="D531">
        <v>937</v>
      </c>
      <c r="E531" s="8">
        <v>2.3161537510814485</v>
      </c>
      <c r="F531" s="7">
        <v>0.43175026680896478</v>
      </c>
      <c r="G531">
        <v>2017</v>
      </c>
    </row>
    <row r="532" spans="1:7" x14ac:dyDescent="0.25">
      <c r="A532" t="s">
        <v>10</v>
      </c>
      <c r="B532" s="3">
        <v>42856</v>
      </c>
      <c r="C532" s="9">
        <v>403.51</v>
      </c>
      <c r="D532">
        <v>937</v>
      </c>
      <c r="E532" s="8">
        <v>2.322123367450621</v>
      </c>
      <c r="F532" s="7">
        <v>0.43064034151547492</v>
      </c>
      <c r="G532">
        <v>2017</v>
      </c>
    </row>
    <row r="533" spans="1:7" x14ac:dyDescent="0.25">
      <c r="A533" t="s">
        <v>10</v>
      </c>
      <c r="B533" s="3">
        <v>42887</v>
      </c>
      <c r="C533" s="9">
        <v>394.49</v>
      </c>
      <c r="D533">
        <v>937</v>
      </c>
      <c r="E533" s="8">
        <v>2.3752186367208292</v>
      </c>
      <c r="F533" s="7">
        <v>0.42101387406616864</v>
      </c>
      <c r="G533">
        <v>2017</v>
      </c>
    </row>
    <row r="534" spans="1:7" x14ac:dyDescent="0.25">
      <c r="A534" t="s">
        <v>10</v>
      </c>
      <c r="B534" s="3">
        <v>42917</v>
      </c>
      <c r="C534" s="9">
        <v>399</v>
      </c>
      <c r="D534">
        <v>937</v>
      </c>
      <c r="E534" s="8">
        <v>2.3483709273182956</v>
      </c>
      <c r="F534" s="7">
        <v>0.42582710779082178</v>
      </c>
      <c r="G534">
        <v>2017</v>
      </c>
    </row>
    <row r="535" spans="1:7" x14ac:dyDescent="0.25">
      <c r="A535" t="s">
        <v>10</v>
      </c>
      <c r="B535" s="3">
        <v>42948</v>
      </c>
      <c r="C535" s="9">
        <v>385.11</v>
      </c>
      <c r="D535">
        <v>937</v>
      </c>
      <c r="E535" s="8">
        <v>2.4330710706032042</v>
      </c>
      <c r="F535" s="7">
        <v>0.41100320170757737</v>
      </c>
      <c r="G535">
        <v>2017</v>
      </c>
    </row>
    <row r="536" spans="1:7" x14ac:dyDescent="0.25">
      <c r="A536" t="s">
        <v>10</v>
      </c>
      <c r="B536" s="3">
        <v>42979</v>
      </c>
      <c r="C536" s="9">
        <v>376.46</v>
      </c>
      <c r="D536">
        <v>937</v>
      </c>
      <c r="E536" s="8">
        <v>2.4889762524571006</v>
      </c>
      <c r="F536" s="7">
        <v>0.40177161152614727</v>
      </c>
      <c r="G536">
        <v>2017</v>
      </c>
    </row>
    <row r="537" spans="1:7" x14ac:dyDescent="0.25">
      <c r="A537" t="s">
        <v>10</v>
      </c>
      <c r="B537" s="3">
        <v>43009</v>
      </c>
      <c r="C537" s="9">
        <v>388.06</v>
      </c>
      <c r="D537">
        <v>937</v>
      </c>
      <c r="E537" s="8">
        <v>2.4145750657114879</v>
      </c>
      <c r="F537" s="7">
        <v>0.41415154749199573</v>
      </c>
      <c r="G537">
        <v>2017</v>
      </c>
    </row>
    <row r="538" spans="1:7" x14ac:dyDescent="0.25">
      <c r="A538" t="s">
        <v>10</v>
      </c>
      <c r="B538" s="3">
        <v>43040</v>
      </c>
      <c r="C538" s="9">
        <v>381.26</v>
      </c>
      <c r="D538">
        <v>937</v>
      </c>
      <c r="E538" s="8">
        <v>2.457640455332319</v>
      </c>
      <c r="F538" s="7">
        <v>0.40689434364994664</v>
      </c>
      <c r="G538">
        <v>2017</v>
      </c>
    </row>
    <row r="539" spans="1:7" x14ac:dyDescent="0.25">
      <c r="A539" t="s">
        <v>10</v>
      </c>
      <c r="B539" s="3">
        <v>43070</v>
      </c>
      <c r="C539" s="9">
        <v>374.94</v>
      </c>
      <c r="D539">
        <v>937</v>
      </c>
      <c r="E539" s="8">
        <v>2.4990665173094362</v>
      </c>
      <c r="F539" s="7">
        <v>0.40014941302027746</v>
      </c>
      <c r="G539">
        <v>2017</v>
      </c>
    </row>
    <row r="540" spans="1:7" x14ac:dyDescent="0.25">
      <c r="A540" t="s">
        <v>10</v>
      </c>
      <c r="B540" s="3">
        <v>43101</v>
      </c>
      <c r="C540" s="9">
        <v>399.72</v>
      </c>
      <c r="D540">
        <v>954</v>
      </c>
      <c r="E540" s="8">
        <v>2.3866706694686277</v>
      </c>
      <c r="F540" s="7">
        <v>0.41899371069182395</v>
      </c>
      <c r="G540">
        <v>2018</v>
      </c>
    </row>
    <row r="541" spans="1:7" x14ac:dyDescent="0.25">
      <c r="A541" t="s">
        <v>10</v>
      </c>
      <c r="B541" s="3">
        <v>43132</v>
      </c>
      <c r="C541" s="9">
        <v>392.91</v>
      </c>
      <c r="D541">
        <v>954</v>
      </c>
      <c r="E541" s="8">
        <v>2.4280369550278689</v>
      </c>
      <c r="F541" s="7">
        <v>0.41185534591194972</v>
      </c>
      <c r="G541">
        <v>2018</v>
      </c>
    </row>
    <row r="542" spans="1:7" x14ac:dyDescent="0.25">
      <c r="A542" t="s">
        <v>10</v>
      </c>
      <c r="B542" s="3">
        <v>43160</v>
      </c>
      <c r="C542" s="9">
        <v>401.65</v>
      </c>
      <c r="D542">
        <v>954</v>
      </c>
      <c r="E542" s="8">
        <v>2.3752022905514751</v>
      </c>
      <c r="F542" s="7">
        <v>0.42101677148846955</v>
      </c>
      <c r="G542">
        <v>2018</v>
      </c>
    </row>
    <row r="543" spans="1:7" x14ac:dyDescent="0.25">
      <c r="A543" t="s">
        <v>10</v>
      </c>
      <c r="B543" s="3">
        <v>43191</v>
      </c>
      <c r="C543" s="9">
        <v>394.07</v>
      </c>
      <c r="D543">
        <v>954</v>
      </c>
      <c r="E543" s="8">
        <v>2.420889689649047</v>
      </c>
      <c r="F543" s="7">
        <v>0.41307127882599581</v>
      </c>
      <c r="G543">
        <v>2018</v>
      </c>
    </row>
    <row r="544" spans="1:7" x14ac:dyDescent="0.25">
      <c r="A544" t="s">
        <v>10</v>
      </c>
      <c r="B544" s="3">
        <v>43221</v>
      </c>
      <c r="C544" s="9">
        <v>397.17</v>
      </c>
      <c r="D544">
        <v>954</v>
      </c>
      <c r="E544" s="8">
        <v>2.4019941083163379</v>
      </c>
      <c r="F544" s="7">
        <v>0.41632075471698116</v>
      </c>
      <c r="G544">
        <v>2018</v>
      </c>
    </row>
    <row r="545" spans="1:7" x14ac:dyDescent="0.25">
      <c r="A545" t="s">
        <v>10</v>
      </c>
      <c r="B545" s="3">
        <v>43252</v>
      </c>
      <c r="C545" s="9">
        <v>412.44</v>
      </c>
      <c r="D545">
        <v>954</v>
      </c>
      <c r="E545" s="8">
        <v>2.3130637183590341</v>
      </c>
      <c r="F545" s="7">
        <v>0.4323270440251572</v>
      </c>
      <c r="G545">
        <v>2018</v>
      </c>
    </row>
    <row r="546" spans="1:7" x14ac:dyDescent="0.25">
      <c r="A546" t="s">
        <v>10</v>
      </c>
      <c r="B546" s="3">
        <v>43282</v>
      </c>
      <c r="C546" s="9">
        <v>391.32</v>
      </c>
      <c r="D546">
        <v>954</v>
      </c>
      <c r="E546" s="8">
        <v>2.4379024839006442</v>
      </c>
      <c r="F546" s="7">
        <v>0.41018867924528302</v>
      </c>
      <c r="G546">
        <v>2018</v>
      </c>
    </row>
    <row r="547" spans="1:7" x14ac:dyDescent="0.25">
      <c r="A547" t="s">
        <v>10</v>
      </c>
      <c r="B547" s="3">
        <v>43313</v>
      </c>
      <c r="C547" s="9">
        <v>389.15</v>
      </c>
      <c r="D547">
        <v>954</v>
      </c>
      <c r="E547" s="8">
        <v>2.4514968521135811</v>
      </c>
      <c r="F547" s="7">
        <v>0.40791404612159327</v>
      </c>
      <c r="G547">
        <v>2018</v>
      </c>
    </row>
    <row r="548" spans="1:7" x14ac:dyDescent="0.25">
      <c r="A548" t="s">
        <v>10</v>
      </c>
      <c r="B548" s="3">
        <v>43344</v>
      </c>
      <c r="C548" s="9">
        <v>387.39</v>
      </c>
      <c r="D548">
        <v>954</v>
      </c>
      <c r="E548" s="8">
        <v>2.4626345543250987</v>
      </c>
      <c r="F548" s="7">
        <v>0.40606918238993711</v>
      </c>
      <c r="G548">
        <v>2018</v>
      </c>
    </row>
    <row r="549" spans="1:7" x14ac:dyDescent="0.25">
      <c r="A549" t="s">
        <v>10</v>
      </c>
      <c r="B549" s="3">
        <v>43374</v>
      </c>
      <c r="C549" s="9">
        <v>406.42</v>
      </c>
      <c r="D549">
        <v>954</v>
      </c>
      <c r="E549" s="8">
        <v>2.3473254268982826</v>
      </c>
      <c r="F549" s="7">
        <v>0.42601677148846961</v>
      </c>
      <c r="G549">
        <v>2018</v>
      </c>
    </row>
    <row r="550" spans="1:7" x14ac:dyDescent="0.25">
      <c r="A550" t="s">
        <v>10</v>
      </c>
      <c r="B550" s="3">
        <v>43405</v>
      </c>
      <c r="C550" s="9">
        <v>416.41</v>
      </c>
      <c r="D550">
        <v>954</v>
      </c>
      <c r="E550" s="8">
        <v>2.2910112629379698</v>
      </c>
      <c r="F550" s="7">
        <v>0.4364884696016772</v>
      </c>
      <c r="G550">
        <v>2018</v>
      </c>
    </row>
    <row r="551" spans="1:7" x14ac:dyDescent="0.25">
      <c r="A551" t="s">
        <v>10</v>
      </c>
      <c r="B551" s="3">
        <v>43435</v>
      </c>
      <c r="C551" s="9">
        <v>419.05</v>
      </c>
      <c r="D551">
        <v>954</v>
      </c>
      <c r="E551" s="8">
        <v>2.2765779739887839</v>
      </c>
      <c r="F551" s="7">
        <v>0.43925576519916143</v>
      </c>
      <c r="G551">
        <v>2018</v>
      </c>
    </row>
    <row r="552" spans="1:7" x14ac:dyDescent="0.25">
      <c r="A552" t="s">
        <v>10</v>
      </c>
      <c r="B552" s="3">
        <v>43466</v>
      </c>
      <c r="C552" s="9">
        <v>401.63</v>
      </c>
      <c r="D552">
        <v>998</v>
      </c>
      <c r="E552" s="8">
        <v>2.4848741378881058</v>
      </c>
      <c r="F552" s="7">
        <v>0.40243486973947895</v>
      </c>
      <c r="G552">
        <v>2019</v>
      </c>
    </row>
    <row r="553" spans="1:7" x14ac:dyDescent="0.25">
      <c r="A553" t="s">
        <v>10</v>
      </c>
      <c r="B553" s="3">
        <v>43497</v>
      </c>
      <c r="C553" s="9">
        <v>414.03</v>
      </c>
      <c r="D553">
        <v>998</v>
      </c>
      <c r="E553" s="8">
        <v>2.4104533487911506</v>
      </c>
      <c r="F553" s="7">
        <v>0.41485971943887773</v>
      </c>
      <c r="G553">
        <v>2019</v>
      </c>
    </row>
    <row r="554" spans="1:7" x14ac:dyDescent="0.25">
      <c r="A554" t="s">
        <v>10</v>
      </c>
      <c r="B554" s="3">
        <v>43525</v>
      </c>
      <c r="C554" s="9">
        <v>443.86</v>
      </c>
      <c r="D554">
        <v>998</v>
      </c>
      <c r="E554" s="8">
        <v>2.2484567205875727</v>
      </c>
      <c r="F554" s="7">
        <v>0.44474949899799598</v>
      </c>
      <c r="G554">
        <v>2019</v>
      </c>
    </row>
    <row r="555" spans="1:7" x14ac:dyDescent="0.25">
      <c r="A555" t="s">
        <v>10</v>
      </c>
      <c r="B555" s="3">
        <v>43556</v>
      </c>
      <c r="C555" s="9">
        <v>461.91</v>
      </c>
      <c r="D555">
        <v>998</v>
      </c>
      <c r="E555" s="8">
        <v>2.1605940551189624</v>
      </c>
      <c r="F555" s="7">
        <v>0.46283567134268538</v>
      </c>
      <c r="G555">
        <v>2019</v>
      </c>
    </row>
    <row r="556" spans="1:7" x14ac:dyDescent="0.25">
      <c r="A556" t="s">
        <v>10</v>
      </c>
      <c r="B556" s="3">
        <v>43586</v>
      </c>
      <c r="C556" s="9">
        <v>451.38</v>
      </c>
      <c r="D556">
        <v>998</v>
      </c>
      <c r="E556" s="8">
        <v>2.2109973857946743</v>
      </c>
      <c r="F556" s="7">
        <v>0.45228456913827653</v>
      </c>
      <c r="G556">
        <v>2019</v>
      </c>
    </row>
    <row r="557" spans="1:7" x14ac:dyDescent="0.25">
      <c r="A557" t="s">
        <v>10</v>
      </c>
      <c r="B557" s="3">
        <v>43617</v>
      </c>
      <c r="C557" s="9">
        <v>446.54</v>
      </c>
      <c r="D557">
        <v>998</v>
      </c>
      <c r="E557" s="8">
        <v>2.2349621534464998</v>
      </c>
      <c r="F557" s="7">
        <v>0.44743486973947899</v>
      </c>
      <c r="G557">
        <v>2019</v>
      </c>
    </row>
    <row r="558" spans="1:7" x14ac:dyDescent="0.25">
      <c r="A558" t="s">
        <v>10</v>
      </c>
      <c r="B558" s="3">
        <v>43647</v>
      </c>
      <c r="C558" s="9">
        <v>443.68</v>
      </c>
      <c r="D558">
        <v>998</v>
      </c>
      <c r="E558" s="8">
        <v>2.2493689145329969</v>
      </c>
      <c r="F558" s="7">
        <v>0.44456913827655309</v>
      </c>
      <c r="G558">
        <v>2019</v>
      </c>
    </row>
    <row r="559" spans="1:7" x14ac:dyDescent="0.25">
      <c r="A559" t="s">
        <v>10</v>
      </c>
      <c r="B559" s="3">
        <v>43678</v>
      </c>
      <c r="C559" s="9">
        <v>441.28</v>
      </c>
      <c r="D559">
        <v>998</v>
      </c>
      <c r="E559" s="8">
        <v>2.2616026105873823</v>
      </c>
      <c r="F559" s="7">
        <v>0.44216432865731459</v>
      </c>
      <c r="G559">
        <v>2019</v>
      </c>
    </row>
    <row r="560" spans="1:7" x14ac:dyDescent="0.25">
      <c r="A560" t="s">
        <v>10</v>
      </c>
      <c r="B560" s="3">
        <v>43709</v>
      </c>
      <c r="C560" s="9">
        <v>424.81</v>
      </c>
      <c r="D560">
        <v>998</v>
      </c>
      <c r="E560" s="8">
        <v>2.3492855629575575</v>
      </c>
      <c r="F560" s="7">
        <v>0.42566132264529061</v>
      </c>
      <c r="G560">
        <v>2019</v>
      </c>
    </row>
    <row r="561" spans="1:7" x14ac:dyDescent="0.25">
      <c r="A561" t="s">
        <v>10</v>
      </c>
      <c r="B561" s="3">
        <v>43739</v>
      </c>
      <c r="C561" s="9">
        <v>421.86</v>
      </c>
      <c r="D561">
        <v>998</v>
      </c>
      <c r="E561" s="8">
        <v>2.3657137438960794</v>
      </c>
      <c r="F561" s="7">
        <v>0.42270541082164331</v>
      </c>
      <c r="G561">
        <v>2019</v>
      </c>
    </row>
    <row r="562" spans="1:7" x14ac:dyDescent="0.25">
      <c r="A562" t="s">
        <v>10</v>
      </c>
      <c r="B562" s="3">
        <v>43770</v>
      </c>
      <c r="C562" s="9">
        <v>413.63</v>
      </c>
      <c r="D562">
        <v>998</v>
      </c>
      <c r="E562" s="8">
        <v>2.4127843725068296</v>
      </c>
      <c r="F562" s="7">
        <v>0.41445891783567135</v>
      </c>
      <c r="G562">
        <v>2019</v>
      </c>
    </row>
    <row r="563" spans="1:7" x14ac:dyDescent="0.25">
      <c r="A563" t="s">
        <v>10</v>
      </c>
      <c r="B563" s="3">
        <v>43800</v>
      </c>
      <c r="C563" s="9">
        <v>458.88</v>
      </c>
      <c r="D563">
        <v>998</v>
      </c>
      <c r="E563" s="8">
        <v>2.1748605299860531</v>
      </c>
      <c r="F563" s="7">
        <v>0.4597995991983968</v>
      </c>
      <c r="G563">
        <v>2019</v>
      </c>
    </row>
    <row r="564" spans="1:7" x14ac:dyDescent="0.25">
      <c r="A564" t="s">
        <v>10</v>
      </c>
      <c r="B564" s="3">
        <v>43831</v>
      </c>
      <c r="C564" s="9">
        <v>452.32</v>
      </c>
      <c r="D564">
        <v>1039</v>
      </c>
      <c r="E564" s="8">
        <v>2.2970463388751328</v>
      </c>
      <c r="F564" s="7">
        <v>0.4353416746871992</v>
      </c>
      <c r="G564">
        <v>2020</v>
      </c>
    </row>
    <row r="565" spans="1:7" x14ac:dyDescent="0.25">
      <c r="A565" t="s">
        <v>10</v>
      </c>
      <c r="B565" s="3">
        <v>43862</v>
      </c>
      <c r="C565" s="9">
        <v>447.91</v>
      </c>
      <c r="D565">
        <v>1045</v>
      </c>
      <c r="E565" s="8">
        <v>2.3330579803978475</v>
      </c>
      <c r="F565" s="7">
        <v>0.42862200956937802</v>
      </c>
      <c r="G565">
        <v>2020</v>
      </c>
    </row>
    <row r="566" spans="1:7" x14ac:dyDescent="0.25">
      <c r="A566" t="s">
        <v>10</v>
      </c>
      <c r="B566" s="3">
        <v>43891</v>
      </c>
      <c r="C566" s="9">
        <v>465.47</v>
      </c>
      <c r="D566">
        <v>1045</v>
      </c>
      <c r="E566" s="8">
        <v>2.2450426450684255</v>
      </c>
      <c r="F566" s="7">
        <v>0.44542583732057417</v>
      </c>
      <c r="G566">
        <v>2020</v>
      </c>
    </row>
    <row r="567" spans="1:7" x14ac:dyDescent="0.25">
      <c r="A567" t="s">
        <v>10</v>
      </c>
      <c r="B567" s="3">
        <v>43922</v>
      </c>
      <c r="C567" s="9">
        <v>511.23</v>
      </c>
      <c r="D567">
        <v>1045</v>
      </c>
      <c r="E567" s="8">
        <v>2.0440897443420769</v>
      </c>
      <c r="F567" s="7">
        <v>0.48921531100478471</v>
      </c>
      <c r="G567">
        <v>2020</v>
      </c>
    </row>
    <row r="568" spans="1:7" x14ac:dyDescent="0.25">
      <c r="A568" t="s">
        <v>10</v>
      </c>
      <c r="B568" s="3">
        <v>43952</v>
      </c>
      <c r="C568" s="9">
        <v>531.27</v>
      </c>
      <c r="D568">
        <v>1045</v>
      </c>
      <c r="E568" s="8">
        <v>1.9669847723379827</v>
      </c>
      <c r="F568" s="7">
        <v>0.50839234449760762</v>
      </c>
      <c r="G568">
        <v>2020</v>
      </c>
    </row>
    <row r="569" spans="1:7" x14ac:dyDescent="0.25">
      <c r="A569" t="s">
        <v>10</v>
      </c>
      <c r="B569" s="3">
        <v>43983</v>
      </c>
      <c r="C569" s="9">
        <v>506.04</v>
      </c>
      <c r="D569">
        <v>1045</v>
      </c>
      <c r="E569" s="8">
        <v>2.0650541459173186</v>
      </c>
      <c r="F569" s="7">
        <v>0.48424880382775121</v>
      </c>
      <c r="G569">
        <v>2020</v>
      </c>
    </row>
    <row r="570" spans="1:7" x14ac:dyDescent="0.25">
      <c r="A570" t="s">
        <v>10</v>
      </c>
      <c r="B570" s="3">
        <v>44013</v>
      </c>
      <c r="C570" s="9">
        <v>526.14</v>
      </c>
      <c r="D570">
        <v>1045</v>
      </c>
      <c r="E570" s="8">
        <v>1.9861633785684418</v>
      </c>
      <c r="F570" s="7">
        <v>0.50348325358851675</v>
      </c>
      <c r="G570">
        <v>2020</v>
      </c>
    </row>
    <row r="571" spans="1:7" x14ac:dyDescent="0.25">
      <c r="A571" t="s">
        <v>10</v>
      </c>
      <c r="B571" s="3">
        <v>44044</v>
      </c>
      <c r="C571" s="9">
        <v>505.54</v>
      </c>
      <c r="D571">
        <v>1045</v>
      </c>
      <c r="E571" s="8">
        <v>2.0670965700043515</v>
      </c>
      <c r="F571" s="7">
        <v>0.48377033492822968</v>
      </c>
      <c r="G571">
        <v>2020</v>
      </c>
    </row>
    <row r="572" spans="1:7" x14ac:dyDescent="0.25">
      <c r="A572" t="s">
        <v>10</v>
      </c>
      <c r="B572" s="3">
        <v>44075</v>
      </c>
      <c r="C572" s="9">
        <v>524.25</v>
      </c>
      <c r="D572">
        <v>1045</v>
      </c>
      <c r="E572" s="8">
        <v>1.9933237958989032</v>
      </c>
      <c r="F572" s="7">
        <v>0.50167464114832538</v>
      </c>
      <c r="G572">
        <v>2020</v>
      </c>
    </row>
    <row r="573" spans="1:7" x14ac:dyDescent="0.25">
      <c r="A573" t="s">
        <v>10</v>
      </c>
      <c r="B573" s="3">
        <v>44105</v>
      </c>
      <c r="C573" s="9">
        <v>521.12</v>
      </c>
      <c r="D573">
        <v>1045</v>
      </c>
      <c r="E573" s="8">
        <v>2.0052962849247775</v>
      </c>
      <c r="F573" s="7">
        <v>0.49867942583732056</v>
      </c>
      <c r="G573">
        <v>2020</v>
      </c>
    </row>
    <row r="574" spans="1:7" x14ac:dyDescent="0.25">
      <c r="A574" t="s">
        <v>10</v>
      </c>
      <c r="B574" s="3">
        <v>44136</v>
      </c>
      <c r="C574" s="9">
        <v>547.29</v>
      </c>
      <c r="D574">
        <v>1045</v>
      </c>
      <c r="E574" s="8">
        <v>1.9094081748250471</v>
      </c>
      <c r="F574" s="7">
        <v>0.52372248803827748</v>
      </c>
      <c r="G574">
        <v>2020</v>
      </c>
    </row>
    <row r="575" spans="1:7" x14ac:dyDescent="0.25">
      <c r="A575" t="s">
        <v>10</v>
      </c>
      <c r="B575" s="3">
        <v>44166</v>
      </c>
      <c r="C575" s="9">
        <v>540.36</v>
      </c>
      <c r="D575">
        <v>1045</v>
      </c>
      <c r="E575" s="8">
        <v>1.9338959212376934</v>
      </c>
      <c r="F575" s="7">
        <v>0.51709090909090916</v>
      </c>
      <c r="G575">
        <v>2020</v>
      </c>
    </row>
    <row r="576" spans="1:7" x14ac:dyDescent="0.25">
      <c r="A576" t="s">
        <v>10</v>
      </c>
      <c r="B576" s="3">
        <v>44197</v>
      </c>
      <c r="C576" s="9">
        <v>559.73</v>
      </c>
      <c r="D576">
        <v>1100</v>
      </c>
      <c r="E576" s="8">
        <v>1.9652332374537722</v>
      </c>
      <c r="F576" s="7">
        <v>0.5088454545454546</v>
      </c>
      <c r="G576">
        <v>2021</v>
      </c>
    </row>
    <row r="577" spans="1:7" x14ac:dyDescent="0.25">
      <c r="A577" t="s">
        <v>10</v>
      </c>
      <c r="B577" s="3">
        <v>44228</v>
      </c>
      <c r="C577" s="9">
        <v>572.77</v>
      </c>
      <c r="D577">
        <v>1100</v>
      </c>
      <c r="E577" s="8">
        <v>1.9204916458613406</v>
      </c>
      <c r="F577" s="7">
        <v>0.52069999999999994</v>
      </c>
      <c r="G577">
        <v>2021</v>
      </c>
    </row>
    <row r="578" spans="1:7" x14ac:dyDescent="0.25">
      <c r="A578" t="s">
        <v>10</v>
      </c>
      <c r="B578" s="3">
        <v>44256</v>
      </c>
      <c r="C578" s="9">
        <v>577.16999999999996</v>
      </c>
      <c r="D578">
        <v>1100</v>
      </c>
      <c r="E578" s="8">
        <v>1.9058509624547362</v>
      </c>
      <c r="F578" s="7">
        <v>0.52469999999999994</v>
      </c>
      <c r="G578">
        <v>2021</v>
      </c>
    </row>
    <row r="579" spans="1:7" x14ac:dyDescent="0.25">
      <c r="A579" t="s">
        <v>10</v>
      </c>
      <c r="B579" s="3">
        <v>44287</v>
      </c>
      <c r="C579" s="9">
        <v>583.61</v>
      </c>
      <c r="D579">
        <v>1100</v>
      </c>
      <c r="E579" s="8">
        <v>1.884820342351913</v>
      </c>
      <c r="F579" s="7">
        <v>0.5305545454545455</v>
      </c>
      <c r="G579">
        <v>2021</v>
      </c>
    </row>
    <row r="580" spans="1:7" x14ac:dyDescent="0.25">
      <c r="A580" t="s">
        <v>10</v>
      </c>
      <c r="B580" s="3">
        <v>44317</v>
      </c>
      <c r="C580" s="9">
        <v>608.89</v>
      </c>
      <c r="D580">
        <v>1100</v>
      </c>
      <c r="E580" s="8">
        <v>1.8065660464123241</v>
      </c>
      <c r="F580" s="7">
        <v>0.5535363636363636</v>
      </c>
      <c r="G580">
        <v>2021</v>
      </c>
    </row>
    <row r="581" spans="1:7" x14ac:dyDescent="0.25">
      <c r="A581" t="s">
        <v>10</v>
      </c>
      <c r="B581" s="3">
        <v>44348</v>
      </c>
      <c r="C581" s="9">
        <v>618.57000000000005</v>
      </c>
      <c r="D581">
        <v>1100</v>
      </c>
      <c r="E581" s="8">
        <v>1.7782950999886835</v>
      </c>
      <c r="F581" s="7">
        <v>0.56233636363636363</v>
      </c>
      <c r="G581">
        <v>2021</v>
      </c>
    </row>
    <row r="582" spans="1:7" x14ac:dyDescent="0.25">
      <c r="A582" t="s">
        <v>10</v>
      </c>
      <c r="B582" s="3">
        <v>44378</v>
      </c>
      <c r="C582" s="9">
        <v>619.83000000000004</v>
      </c>
      <c r="D582">
        <v>1100</v>
      </c>
      <c r="E582" s="8">
        <v>1.7746801542358388</v>
      </c>
      <c r="F582" s="7">
        <v>0.56348181818181819</v>
      </c>
      <c r="G582">
        <v>2021</v>
      </c>
    </row>
    <row r="583" spans="1:7" x14ac:dyDescent="0.25">
      <c r="A583" t="s">
        <v>10</v>
      </c>
      <c r="B583" s="3">
        <v>44409</v>
      </c>
      <c r="C583" s="9">
        <v>600.47</v>
      </c>
      <c r="D583">
        <v>1100</v>
      </c>
      <c r="E583" s="8">
        <v>1.8318983462954019</v>
      </c>
      <c r="F583" s="7">
        <v>0.54588181818181825</v>
      </c>
      <c r="G583">
        <v>2021</v>
      </c>
    </row>
    <row r="584" spans="1:7" x14ac:dyDescent="0.25">
      <c r="A584" t="s">
        <v>10</v>
      </c>
      <c r="B584" s="3">
        <v>44440</v>
      </c>
      <c r="C584" s="9">
        <v>610.85</v>
      </c>
      <c r="D584">
        <v>1100</v>
      </c>
      <c r="E584" s="8">
        <v>1.8007694196611279</v>
      </c>
      <c r="F584" s="7">
        <v>0.55531818181818182</v>
      </c>
      <c r="G584">
        <v>2021</v>
      </c>
    </row>
    <row r="585" spans="1:7" x14ac:dyDescent="0.25">
      <c r="A585" t="s">
        <v>10</v>
      </c>
      <c r="B585" s="3">
        <v>44470</v>
      </c>
      <c r="C585" s="9">
        <v>639.89</v>
      </c>
      <c r="D585">
        <v>1100</v>
      </c>
      <c r="E585" s="8">
        <v>1.7190454609385988</v>
      </c>
      <c r="F585" s="7">
        <v>0.5817181818181818</v>
      </c>
      <c r="G585">
        <v>2021</v>
      </c>
    </row>
    <row r="586" spans="1:7" x14ac:dyDescent="0.25">
      <c r="A586" t="s">
        <v>10</v>
      </c>
      <c r="B586" s="3">
        <v>44501</v>
      </c>
      <c r="C586" s="9">
        <v>638.96</v>
      </c>
      <c r="D586">
        <v>1100</v>
      </c>
      <c r="E586" s="8">
        <v>1.7215475147114059</v>
      </c>
      <c r="F586" s="7">
        <v>0.58087272727272732</v>
      </c>
      <c r="G586">
        <v>2021</v>
      </c>
    </row>
    <row r="587" spans="1:7" x14ac:dyDescent="0.25">
      <c r="A587" t="s">
        <v>10</v>
      </c>
      <c r="B587" s="3">
        <v>44531</v>
      </c>
      <c r="C587" s="9">
        <v>628.46</v>
      </c>
      <c r="D587">
        <v>1100</v>
      </c>
      <c r="E587" s="8">
        <v>1.7503102822773127</v>
      </c>
      <c r="F587" s="7">
        <v>0.57132727272727279</v>
      </c>
      <c r="G587">
        <v>2021</v>
      </c>
    </row>
    <row r="588" spans="1:7" x14ac:dyDescent="0.25">
      <c r="A588" t="s">
        <v>10</v>
      </c>
      <c r="B588" s="3">
        <v>44562</v>
      </c>
      <c r="C588" s="9">
        <v>636.57000000000005</v>
      </c>
      <c r="D588">
        <v>1212</v>
      </c>
      <c r="E588" s="8">
        <v>1.9039540034874403</v>
      </c>
      <c r="F588" s="7">
        <v>0.5252227722772278</v>
      </c>
      <c r="G588">
        <v>2022</v>
      </c>
    </row>
    <row r="589" spans="1:7" x14ac:dyDescent="0.25">
      <c r="A589" t="s">
        <v>10</v>
      </c>
      <c r="B589" s="3">
        <v>44593</v>
      </c>
      <c r="C589" s="9">
        <v>652.9</v>
      </c>
      <c r="D589">
        <v>1212</v>
      </c>
      <c r="E589" s="8">
        <v>1.8563332822790628</v>
      </c>
      <c r="F589" s="7">
        <v>0.53869636963696366</v>
      </c>
      <c r="G589">
        <v>2022</v>
      </c>
    </row>
    <row r="590" spans="1:7" x14ac:dyDescent="0.25">
      <c r="A590" t="s">
        <v>10</v>
      </c>
      <c r="B590" s="3">
        <v>44621</v>
      </c>
      <c r="C590" s="9">
        <v>701.59</v>
      </c>
      <c r="D590">
        <v>1212</v>
      </c>
      <c r="E590" s="8">
        <v>1.7275046679684716</v>
      </c>
      <c r="F590" s="7">
        <v>0.57886963696369642</v>
      </c>
      <c r="G590">
        <v>2022</v>
      </c>
    </row>
    <row r="591" spans="1:7" x14ac:dyDescent="0.25">
      <c r="A591" t="s">
        <v>10</v>
      </c>
      <c r="B591" s="3">
        <v>44652</v>
      </c>
      <c r="C591" s="9">
        <v>739.28</v>
      </c>
      <c r="D591">
        <v>1212</v>
      </c>
      <c r="E591" s="8">
        <v>1.6394329618006709</v>
      </c>
      <c r="F591" s="7">
        <v>0.60996699669966992</v>
      </c>
      <c r="G591">
        <v>2022</v>
      </c>
    </row>
    <row r="592" spans="1:7" x14ac:dyDescent="0.25">
      <c r="A592" t="s">
        <v>10</v>
      </c>
      <c r="B592" s="3">
        <v>44682</v>
      </c>
      <c r="C592" s="9">
        <v>713.68</v>
      </c>
      <c r="D592">
        <v>1212</v>
      </c>
      <c r="E592" s="8">
        <v>1.6982401076112545</v>
      </c>
      <c r="F592" s="7">
        <v>0.58884488448844885</v>
      </c>
      <c r="G592">
        <v>2022</v>
      </c>
    </row>
    <row r="593" spans="1:7" x14ac:dyDescent="0.25">
      <c r="A593" t="s">
        <v>10</v>
      </c>
      <c r="B593" s="3">
        <v>44713</v>
      </c>
      <c r="C593" s="9">
        <v>701.26</v>
      </c>
      <c r="D593">
        <v>1212</v>
      </c>
      <c r="E593" s="8">
        <v>1.7283175997490232</v>
      </c>
      <c r="F593" s="7">
        <v>0.57859735973597359</v>
      </c>
      <c r="G593">
        <v>2022</v>
      </c>
    </row>
    <row r="594" spans="1:7" x14ac:dyDescent="0.25">
      <c r="A594" t="s">
        <v>10</v>
      </c>
      <c r="B594" s="3">
        <v>44743</v>
      </c>
      <c r="C594" s="9">
        <v>688.78</v>
      </c>
      <c r="D594">
        <v>1212</v>
      </c>
      <c r="E594" s="8">
        <v>1.7596329742443162</v>
      </c>
      <c r="F594" s="7">
        <v>0.56830033003300329</v>
      </c>
      <c r="G594">
        <v>2022</v>
      </c>
    </row>
    <row r="595" spans="1:7" x14ac:dyDescent="0.25">
      <c r="A595" t="s">
        <v>10</v>
      </c>
      <c r="B595" s="3">
        <v>44774</v>
      </c>
      <c r="C595" s="9">
        <v>685.69</v>
      </c>
      <c r="D595">
        <v>1212</v>
      </c>
      <c r="E595" s="8">
        <v>1.7675626011754582</v>
      </c>
      <c r="F595" s="7">
        <v>0.56575082508250829</v>
      </c>
      <c r="G595">
        <v>2022</v>
      </c>
    </row>
    <row r="596" spans="1:7" x14ac:dyDescent="0.25">
      <c r="A596" t="s">
        <v>10</v>
      </c>
      <c r="B596" s="3">
        <v>44805</v>
      </c>
      <c r="C596" s="9">
        <v>678.73</v>
      </c>
      <c r="D596">
        <v>1212</v>
      </c>
      <c r="E596" s="8">
        <v>1.7856879760729598</v>
      </c>
      <c r="F596" s="7">
        <v>0.56000825082508254</v>
      </c>
      <c r="G596">
        <v>2022</v>
      </c>
    </row>
    <row r="597" spans="1:7" x14ac:dyDescent="0.25">
      <c r="A597" t="s">
        <v>10</v>
      </c>
      <c r="B597" s="3">
        <v>44835</v>
      </c>
      <c r="C597" s="9">
        <v>696.31</v>
      </c>
      <c r="D597">
        <v>1212</v>
      </c>
      <c r="E597" s="8">
        <v>1.7406040413034425</v>
      </c>
      <c r="F597" s="7">
        <v>0.57451320132013195</v>
      </c>
      <c r="G597">
        <v>2022</v>
      </c>
    </row>
    <row r="598" spans="1:7" x14ac:dyDescent="0.25">
      <c r="A598" t="s">
        <v>10</v>
      </c>
      <c r="B598" s="3">
        <v>44866</v>
      </c>
      <c r="C598" s="9">
        <v>709.84</v>
      </c>
      <c r="D598">
        <v>1212</v>
      </c>
      <c r="E598" s="8">
        <v>1.7074270258086328</v>
      </c>
      <c r="F598" s="7">
        <v>0.58567656765676568</v>
      </c>
      <c r="G598">
        <v>2022</v>
      </c>
    </row>
    <row r="599" spans="1:7" x14ac:dyDescent="0.25">
      <c r="A599" t="s">
        <v>10</v>
      </c>
      <c r="B599" s="3">
        <v>44896</v>
      </c>
      <c r="C599" s="9">
        <v>698.66</v>
      </c>
      <c r="D599">
        <v>1212</v>
      </c>
      <c r="E599" s="8">
        <v>1.7347493773795553</v>
      </c>
      <c r="F599" s="7">
        <v>0.57645214521452137</v>
      </c>
      <c r="G599">
        <v>2022</v>
      </c>
    </row>
    <row r="600" spans="1:7" x14ac:dyDescent="0.25">
      <c r="A600" t="s">
        <v>10</v>
      </c>
      <c r="B600" s="3">
        <v>44927</v>
      </c>
      <c r="C600" s="9">
        <v>695.18</v>
      </c>
      <c r="D600">
        <v>1302</v>
      </c>
      <c r="E600" s="8">
        <v>1.8728962283149688</v>
      </c>
      <c r="F600" s="7">
        <v>0.53393241167434713</v>
      </c>
      <c r="G600">
        <v>2023</v>
      </c>
    </row>
    <row r="601" spans="1:7" x14ac:dyDescent="0.25">
      <c r="A601" t="s">
        <v>10</v>
      </c>
      <c r="B601" s="3">
        <v>44958</v>
      </c>
      <c r="C601" s="9">
        <v>678.9</v>
      </c>
      <c r="D601">
        <v>1302</v>
      </c>
      <c r="E601" s="8">
        <v>1.9178082191780823</v>
      </c>
      <c r="F601" s="7">
        <v>0.52142857142857146</v>
      </c>
      <c r="G601">
        <v>2023</v>
      </c>
    </row>
    <row r="602" spans="1:7" x14ac:dyDescent="0.25">
      <c r="A602" t="s">
        <v>10</v>
      </c>
      <c r="B602" s="3">
        <v>44986</v>
      </c>
      <c r="C602" s="9">
        <v>679.76</v>
      </c>
      <c r="D602">
        <v>1302</v>
      </c>
      <c r="E602" s="8">
        <v>1.9153818994939391</v>
      </c>
      <c r="F602" s="7">
        <v>0.52208909370199696</v>
      </c>
      <c r="G602">
        <v>2023</v>
      </c>
    </row>
    <row r="603" spans="1:7" x14ac:dyDescent="0.25">
      <c r="A603" t="s">
        <v>10</v>
      </c>
      <c r="B603" s="3">
        <v>45017</v>
      </c>
      <c r="C603" s="9">
        <v>694.05</v>
      </c>
      <c r="D603">
        <v>1302</v>
      </c>
      <c r="E603" s="8">
        <v>1.8759455370650531</v>
      </c>
      <c r="F603" s="7">
        <v>0.53306451612903227</v>
      </c>
      <c r="G603">
        <v>2023</v>
      </c>
    </row>
    <row r="604" spans="1:7" x14ac:dyDescent="0.25">
      <c r="A604" t="s">
        <v>10</v>
      </c>
      <c r="B604" s="3">
        <v>45047</v>
      </c>
      <c r="C604" s="9">
        <v>703.83</v>
      </c>
      <c r="D604">
        <v>1320</v>
      </c>
      <c r="E604" s="8">
        <v>1.8754528792464089</v>
      </c>
      <c r="F604" s="7">
        <v>0.53320454545454543</v>
      </c>
      <c r="G604">
        <v>2023</v>
      </c>
    </row>
    <row r="605" spans="1:7" x14ac:dyDescent="0.25">
      <c r="A605" t="s">
        <v>10</v>
      </c>
      <c r="B605" s="3">
        <v>45078</v>
      </c>
      <c r="C605" s="9">
        <v>701.22</v>
      </c>
      <c r="D605">
        <v>1320</v>
      </c>
      <c r="E605" s="8">
        <v>1.8824334730897578</v>
      </c>
      <c r="F605" s="7">
        <v>0.53122727272727277</v>
      </c>
      <c r="G605">
        <v>2023</v>
      </c>
    </row>
    <row r="606" spans="1:7" x14ac:dyDescent="0.25">
      <c r="A606" t="s">
        <v>10</v>
      </c>
      <c r="B606" s="3">
        <v>45108</v>
      </c>
      <c r="C606" s="9">
        <v>690.31</v>
      </c>
      <c r="D606">
        <v>1320</v>
      </c>
      <c r="E606" s="8">
        <v>1.9121843809303067</v>
      </c>
      <c r="F606" s="7">
        <v>0.52296212121212116</v>
      </c>
      <c r="G606">
        <v>2023</v>
      </c>
    </row>
    <row r="607" spans="1:7" x14ac:dyDescent="0.25">
      <c r="A607" t="s">
        <v>10</v>
      </c>
      <c r="B607" s="3">
        <v>45139</v>
      </c>
      <c r="C607" s="9">
        <v>685.13</v>
      </c>
      <c r="D607">
        <v>1320</v>
      </c>
      <c r="E607" s="8">
        <v>1.9266416592471503</v>
      </c>
      <c r="F607" s="7">
        <v>0.51903787878787877</v>
      </c>
      <c r="G607">
        <v>2023</v>
      </c>
    </row>
    <row r="608" spans="1:7" x14ac:dyDescent="0.25">
      <c r="A608" t="s">
        <v>10</v>
      </c>
      <c r="B608" s="3">
        <v>45170</v>
      </c>
      <c r="C608" s="9">
        <v>681.23</v>
      </c>
      <c r="D608">
        <v>1320</v>
      </c>
      <c r="E608" s="8">
        <v>1.9376715646697884</v>
      </c>
      <c r="F608" s="7">
        <v>0.51608333333333334</v>
      </c>
      <c r="G608">
        <v>2023</v>
      </c>
    </row>
    <row r="609" spans="1:7" x14ac:dyDescent="0.25">
      <c r="A609" t="s">
        <v>10</v>
      </c>
      <c r="B609" s="3">
        <v>45200</v>
      </c>
      <c r="C609" s="9">
        <v>675.01</v>
      </c>
      <c r="D609">
        <v>1320</v>
      </c>
      <c r="E609" s="8">
        <v>1.9555265847913363</v>
      </c>
      <c r="F609" s="7">
        <v>0.51137121212121206</v>
      </c>
      <c r="G609">
        <v>2023</v>
      </c>
    </row>
    <row r="610" spans="1:7" x14ac:dyDescent="0.25">
      <c r="A610" t="s">
        <v>10</v>
      </c>
      <c r="B610" s="3">
        <v>45231</v>
      </c>
      <c r="C610" s="9">
        <v>683.44</v>
      </c>
      <c r="D610">
        <v>1320</v>
      </c>
      <c r="E610" s="8">
        <v>1.9314058293339575</v>
      </c>
      <c r="F610" s="7">
        <v>0.51775757575757575</v>
      </c>
      <c r="G610">
        <v>2023</v>
      </c>
    </row>
    <row r="611" spans="1:7" x14ac:dyDescent="0.25">
      <c r="A611" t="s">
        <v>10</v>
      </c>
      <c r="B611" s="3">
        <v>45261</v>
      </c>
      <c r="C611" s="9">
        <v>697.22</v>
      </c>
      <c r="D611">
        <v>1320</v>
      </c>
      <c r="E611" s="8">
        <v>1.893233125842632</v>
      </c>
      <c r="F611" s="7">
        <v>0.52819696969696972</v>
      </c>
      <c r="G611">
        <v>2023</v>
      </c>
    </row>
    <row r="612" spans="1:7" x14ac:dyDescent="0.25">
      <c r="A612" t="s">
        <v>10</v>
      </c>
      <c r="B612" s="3">
        <v>45292</v>
      </c>
      <c r="C612" s="9">
        <v>726.23</v>
      </c>
      <c r="D612">
        <v>1412</v>
      </c>
      <c r="E612" s="8">
        <v>1.9442876223785852</v>
      </c>
      <c r="F612" s="7">
        <v>0.51432719546742212</v>
      </c>
      <c r="G612">
        <v>2024</v>
      </c>
    </row>
    <row r="613" spans="1:7" x14ac:dyDescent="0.25">
      <c r="A613" t="s">
        <v>10</v>
      </c>
      <c r="B613" s="3">
        <v>45323</v>
      </c>
      <c r="C613" s="9">
        <v>731.5</v>
      </c>
      <c r="D613">
        <v>1412</v>
      </c>
      <c r="E613" s="8">
        <v>1.9302802460697197</v>
      </c>
      <c r="F613" s="7">
        <v>0.51805949008498586</v>
      </c>
      <c r="G613">
        <v>2024</v>
      </c>
    </row>
    <row r="614" spans="1:7" x14ac:dyDescent="0.25">
      <c r="A614" t="s">
        <v>10</v>
      </c>
      <c r="B614" s="3">
        <v>45352</v>
      </c>
      <c r="C614" s="9">
        <v>728.06</v>
      </c>
      <c r="D614">
        <v>1412</v>
      </c>
      <c r="E614" s="8">
        <v>1.9394005988517431</v>
      </c>
      <c r="F614" s="7">
        <v>0.51562322946175632</v>
      </c>
      <c r="G614">
        <v>2024</v>
      </c>
    </row>
    <row r="615" spans="1:7" x14ac:dyDescent="0.25">
      <c r="A615" t="s">
        <v>10</v>
      </c>
      <c r="B615" s="3">
        <v>45383</v>
      </c>
      <c r="C615" s="9">
        <v>726.64</v>
      </c>
      <c r="D615">
        <v>1412</v>
      </c>
      <c r="E615" s="8">
        <v>1.9431905758009469</v>
      </c>
      <c r="F615" s="7">
        <v>0.51461756373937673</v>
      </c>
      <c r="G615">
        <v>2024</v>
      </c>
    </row>
    <row r="616" spans="1:7" x14ac:dyDescent="0.25">
      <c r="A616" t="s">
        <v>10</v>
      </c>
      <c r="B616" s="3">
        <v>45413</v>
      </c>
      <c r="C616" s="9">
        <v>741.46</v>
      </c>
      <c r="D616">
        <v>1412</v>
      </c>
      <c r="E616" s="8">
        <v>1.9043508753000835</v>
      </c>
      <c r="F616" s="7">
        <v>0.52511331444759213</v>
      </c>
      <c r="G616">
        <v>2024</v>
      </c>
    </row>
    <row r="617" spans="1:7" x14ac:dyDescent="0.25">
      <c r="A617" t="s">
        <v>10</v>
      </c>
      <c r="B617" s="3">
        <v>45444</v>
      </c>
      <c r="C617" s="9">
        <v>754.91</v>
      </c>
      <c r="D617">
        <v>1412</v>
      </c>
      <c r="E617" s="8">
        <v>1.8704216396656557</v>
      </c>
      <c r="F617" s="7">
        <v>0.53463881019830028</v>
      </c>
      <c r="G617">
        <v>2024</v>
      </c>
    </row>
    <row r="618" spans="1:7" x14ac:dyDescent="0.25">
      <c r="A618" t="s">
        <v>10</v>
      </c>
      <c r="B618" s="3">
        <v>45474</v>
      </c>
      <c r="C618" s="9">
        <v>718.32</v>
      </c>
      <c r="D618">
        <v>1412</v>
      </c>
      <c r="E618" s="8">
        <v>1.9656977391691723</v>
      </c>
      <c r="F618" s="7">
        <v>0.50872521246458924</v>
      </c>
      <c r="G618">
        <v>2024</v>
      </c>
    </row>
    <row r="619" spans="1:7" x14ac:dyDescent="0.25">
      <c r="A619" t="s">
        <v>10</v>
      </c>
      <c r="B619" s="3">
        <v>45505</v>
      </c>
      <c r="C619" s="9">
        <v>697.08</v>
      </c>
      <c r="D619">
        <v>1412</v>
      </c>
      <c r="E619" s="8">
        <v>2.0255924714523439</v>
      </c>
      <c r="F619" s="7">
        <v>0.49368271954674225</v>
      </c>
      <c r="G619">
        <v>2024</v>
      </c>
    </row>
    <row r="620" spans="1:7" x14ac:dyDescent="0.25">
      <c r="A620" t="s">
        <v>10</v>
      </c>
      <c r="B620" s="3">
        <v>45536</v>
      </c>
      <c r="C620" s="9">
        <v>698.44</v>
      </c>
      <c r="D620">
        <v>1412</v>
      </c>
      <c r="E620" s="8">
        <v>2.0216482446595267</v>
      </c>
      <c r="F620" s="7">
        <v>0.49464589235127482</v>
      </c>
      <c r="G620">
        <v>2024</v>
      </c>
    </row>
    <row r="621" spans="1:7" x14ac:dyDescent="0.25">
      <c r="A621" t="s">
        <v>10</v>
      </c>
      <c r="B621" s="3">
        <v>45566</v>
      </c>
      <c r="C621" s="9">
        <v>726.62</v>
      </c>
      <c r="D621">
        <v>1412</v>
      </c>
      <c r="E621" s="8">
        <v>1.9432440615452369</v>
      </c>
      <c r="F621" s="7">
        <v>0.51460339943342781</v>
      </c>
      <c r="G621">
        <v>2024</v>
      </c>
    </row>
    <row r="622" spans="1:7" x14ac:dyDescent="0.25">
      <c r="A622" t="s">
        <v>10</v>
      </c>
      <c r="B622" s="3">
        <v>45597</v>
      </c>
      <c r="C622" s="9">
        <v>739.4</v>
      </c>
      <c r="D622">
        <v>1412</v>
      </c>
      <c r="E622" s="8">
        <v>1.9096564782255885</v>
      </c>
      <c r="F622" s="7">
        <v>0.52365439093484423</v>
      </c>
      <c r="G622">
        <v>2024</v>
      </c>
    </row>
    <row r="623" spans="1:7" x14ac:dyDescent="0.25">
      <c r="A623" t="s">
        <v>10</v>
      </c>
      <c r="B623" s="3">
        <v>45627</v>
      </c>
      <c r="C623" s="9">
        <v>741.9</v>
      </c>
      <c r="D623">
        <v>1412</v>
      </c>
      <c r="E623" s="8">
        <v>1.9032214584175766</v>
      </c>
      <c r="F623" s="7">
        <v>0.52542492917847028</v>
      </c>
      <c r="G623">
        <v>2024</v>
      </c>
    </row>
    <row r="624" spans="1:7" x14ac:dyDescent="0.25">
      <c r="A624" t="s">
        <v>10</v>
      </c>
      <c r="B624" s="3">
        <v>45658</v>
      </c>
      <c r="C624" s="9">
        <v>743.69</v>
      </c>
      <c r="D624">
        <v>1518</v>
      </c>
      <c r="E624" s="8">
        <v>2.0411730694240879</v>
      </c>
      <c r="F624" s="7">
        <v>0.48991436100131758</v>
      </c>
      <c r="G624">
        <v>2025</v>
      </c>
    </row>
    <row r="625" spans="1:7" x14ac:dyDescent="0.25">
      <c r="A625" t="s">
        <v>10</v>
      </c>
      <c r="B625" s="3">
        <v>45689</v>
      </c>
      <c r="C625" s="9">
        <v>745.88</v>
      </c>
      <c r="D625">
        <v>1518</v>
      </c>
      <c r="E625" s="8">
        <v>2.0351799217032229</v>
      </c>
      <c r="F625" s="7">
        <v>0.49135704874835312</v>
      </c>
      <c r="G625">
        <v>2025</v>
      </c>
    </row>
    <row r="626" spans="1:7" x14ac:dyDescent="0.25">
      <c r="A626" t="s">
        <v>10</v>
      </c>
      <c r="B626" s="3">
        <v>45717</v>
      </c>
      <c r="C626" s="9">
        <v>772.83</v>
      </c>
      <c r="D626">
        <v>1518</v>
      </c>
      <c r="E626" s="8">
        <v>1.9642094639183261</v>
      </c>
      <c r="F626" s="7">
        <v>0.50911067193675896</v>
      </c>
      <c r="G626">
        <v>2025</v>
      </c>
    </row>
    <row r="627" spans="1:7" x14ac:dyDescent="0.25">
      <c r="A627" t="s">
        <v>10</v>
      </c>
      <c r="B627" s="3">
        <v>45748</v>
      </c>
      <c r="C627" s="9">
        <v>793.72</v>
      </c>
      <c r="D627">
        <v>1518</v>
      </c>
      <c r="E627" s="8">
        <v>1.9125132288464446</v>
      </c>
      <c r="F627" s="7">
        <v>0.52287220026350467</v>
      </c>
      <c r="G627">
        <v>2025</v>
      </c>
    </row>
    <row r="628" spans="1:7" x14ac:dyDescent="0.25">
      <c r="A628" t="s">
        <v>10</v>
      </c>
      <c r="B628" s="3">
        <v>45778</v>
      </c>
      <c r="C628" s="9">
        <v>791.39</v>
      </c>
      <c r="D628">
        <v>1518</v>
      </c>
      <c r="E628" s="8">
        <v>1.9181440250698139</v>
      </c>
      <c r="F628" s="7">
        <v>0.52133728590250328</v>
      </c>
      <c r="G628">
        <v>2025</v>
      </c>
    </row>
    <row r="629" spans="1:7" x14ac:dyDescent="0.25">
      <c r="A629" t="s">
        <v>10</v>
      </c>
      <c r="B629" s="3">
        <v>45809</v>
      </c>
      <c r="C629" s="9">
        <v>789.86</v>
      </c>
      <c r="D629">
        <v>1518</v>
      </c>
      <c r="E629" s="8">
        <v>1.9218595700503887</v>
      </c>
      <c r="F629" s="7">
        <v>0.52032938076416335</v>
      </c>
      <c r="G629">
        <v>2025</v>
      </c>
    </row>
    <row r="630" spans="1:7" x14ac:dyDescent="0.25">
      <c r="A630" t="s">
        <v>11</v>
      </c>
      <c r="B630" s="3">
        <v>42005</v>
      </c>
      <c r="C630" s="9">
        <v>360.64</v>
      </c>
      <c r="D630">
        <v>788</v>
      </c>
      <c r="E630" s="8">
        <v>2.1850044365572319</v>
      </c>
      <c r="F630" s="7">
        <v>0.45766497461928934</v>
      </c>
      <c r="G630">
        <v>2015</v>
      </c>
    </row>
    <row r="631" spans="1:7" x14ac:dyDescent="0.25">
      <c r="A631" t="s">
        <v>11</v>
      </c>
      <c r="B631" s="3">
        <v>42036</v>
      </c>
      <c r="C631" s="9">
        <v>359.76</v>
      </c>
      <c r="D631">
        <v>788</v>
      </c>
      <c r="E631" s="8">
        <v>2.1903491216366469</v>
      </c>
      <c r="F631" s="7">
        <v>0.4565482233502538</v>
      </c>
      <c r="G631">
        <v>2015</v>
      </c>
    </row>
    <row r="632" spans="1:7" x14ac:dyDescent="0.25">
      <c r="A632" t="s">
        <v>11</v>
      </c>
      <c r="B632" s="3">
        <v>42064</v>
      </c>
      <c r="C632" s="9">
        <v>358.14</v>
      </c>
      <c r="D632">
        <v>788</v>
      </c>
      <c r="E632" s="8">
        <v>2.2002568827832691</v>
      </c>
      <c r="F632" s="7">
        <v>0.45449238578680201</v>
      </c>
      <c r="G632">
        <v>2015</v>
      </c>
    </row>
    <row r="633" spans="1:7" x14ac:dyDescent="0.25">
      <c r="A633" t="s">
        <v>11</v>
      </c>
      <c r="B633" s="3">
        <v>42095</v>
      </c>
      <c r="C633" s="9">
        <v>368.32</v>
      </c>
      <c r="D633">
        <v>788</v>
      </c>
      <c r="E633" s="8">
        <v>2.1394439617723719</v>
      </c>
      <c r="F633" s="7">
        <v>0.46741116751269035</v>
      </c>
      <c r="G633">
        <v>2015</v>
      </c>
    </row>
    <row r="634" spans="1:7" x14ac:dyDescent="0.25">
      <c r="A634" t="s">
        <v>11</v>
      </c>
      <c r="B634" s="3">
        <v>42125</v>
      </c>
      <c r="C634" s="9">
        <v>394.29</v>
      </c>
      <c r="D634">
        <v>788</v>
      </c>
      <c r="E634" s="8">
        <v>1.9985290014963604</v>
      </c>
      <c r="F634" s="7">
        <v>0.50036802030456851</v>
      </c>
      <c r="G634">
        <v>2015</v>
      </c>
    </row>
    <row r="635" spans="1:7" x14ac:dyDescent="0.25">
      <c r="A635" t="s">
        <v>11</v>
      </c>
      <c r="B635" s="3">
        <v>42156</v>
      </c>
      <c r="C635" s="9">
        <v>386.1</v>
      </c>
      <c r="D635">
        <v>788</v>
      </c>
      <c r="E635" s="8">
        <v>2.040922040922041</v>
      </c>
      <c r="F635" s="7">
        <v>0.48997461928934011</v>
      </c>
      <c r="G635">
        <v>2015</v>
      </c>
    </row>
    <row r="636" spans="1:7" x14ac:dyDescent="0.25">
      <c r="A636" t="s">
        <v>11</v>
      </c>
      <c r="B636" s="3">
        <v>42186</v>
      </c>
      <c r="C636" s="9">
        <v>376.69</v>
      </c>
      <c r="D636">
        <v>788</v>
      </c>
      <c r="E636" s="8">
        <v>2.0919058111444424</v>
      </c>
      <c r="F636" s="7">
        <v>0.47803299492385787</v>
      </c>
      <c r="G636">
        <v>2015</v>
      </c>
    </row>
    <row r="637" spans="1:7" x14ac:dyDescent="0.25">
      <c r="A637" t="s">
        <v>11</v>
      </c>
      <c r="B637" s="3">
        <v>42217</v>
      </c>
      <c r="C637" s="9">
        <v>372.79</v>
      </c>
      <c r="D637">
        <v>788</v>
      </c>
      <c r="E637" s="8">
        <v>2.11379060597119</v>
      </c>
      <c r="F637" s="7">
        <v>0.47308375634517769</v>
      </c>
      <c r="G637">
        <v>2015</v>
      </c>
    </row>
    <row r="638" spans="1:7" x14ac:dyDescent="0.25">
      <c r="A638" t="s">
        <v>11</v>
      </c>
      <c r="B638" s="3">
        <v>42248</v>
      </c>
      <c r="C638" s="9">
        <v>383.1</v>
      </c>
      <c r="D638">
        <v>788</v>
      </c>
      <c r="E638" s="8">
        <v>2.0569042025580786</v>
      </c>
      <c r="F638" s="7">
        <v>0.48616751269035535</v>
      </c>
      <c r="G638">
        <v>2015</v>
      </c>
    </row>
    <row r="639" spans="1:7" x14ac:dyDescent="0.25">
      <c r="A639" t="s">
        <v>11</v>
      </c>
      <c r="B639" s="3">
        <v>42278</v>
      </c>
      <c r="C639" s="9">
        <v>378.45</v>
      </c>
      <c r="D639">
        <v>788</v>
      </c>
      <c r="E639" s="8">
        <v>2.082177302153521</v>
      </c>
      <c r="F639" s="7">
        <v>0.4802664974619289</v>
      </c>
      <c r="G639">
        <v>2015</v>
      </c>
    </row>
    <row r="640" spans="1:7" x14ac:dyDescent="0.25">
      <c r="A640" t="s">
        <v>11</v>
      </c>
      <c r="B640" s="3">
        <v>42309</v>
      </c>
      <c r="C640" s="9">
        <v>391.85</v>
      </c>
      <c r="D640">
        <v>788</v>
      </c>
      <c r="E640" s="8">
        <v>2.0109735868316956</v>
      </c>
      <c r="F640" s="7">
        <v>0.49727157360406093</v>
      </c>
      <c r="G640">
        <v>2015</v>
      </c>
    </row>
    <row r="641" spans="1:7" x14ac:dyDescent="0.25">
      <c r="A641" t="s">
        <v>11</v>
      </c>
      <c r="B641" s="3">
        <v>42339</v>
      </c>
      <c r="C641" s="9">
        <v>414.12</v>
      </c>
      <c r="D641">
        <v>788</v>
      </c>
      <c r="E641" s="8">
        <v>1.9028300975562638</v>
      </c>
      <c r="F641" s="7">
        <v>0.52553299492385785</v>
      </c>
      <c r="G641">
        <v>2015</v>
      </c>
    </row>
    <row r="642" spans="1:7" x14ac:dyDescent="0.25">
      <c r="A642" t="s">
        <v>11</v>
      </c>
      <c r="B642" s="3">
        <v>42370</v>
      </c>
      <c r="C642" s="9">
        <v>437.24</v>
      </c>
      <c r="D642">
        <v>880</v>
      </c>
      <c r="E642" s="8">
        <v>2.0126246455036134</v>
      </c>
      <c r="F642" s="7">
        <v>0.4968636363636364</v>
      </c>
      <c r="G642">
        <v>2016</v>
      </c>
    </row>
    <row r="643" spans="1:7" x14ac:dyDescent="0.25">
      <c r="A643" t="s">
        <v>11</v>
      </c>
      <c r="B643" s="3">
        <v>42401</v>
      </c>
      <c r="C643" s="9">
        <v>430.69</v>
      </c>
      <c r="D643">
        <v>880</v>
      </c>
      <c r="E643" s="8">
        <v>2.0432329517750585</v>
      </c>
      <c r="F643" s="7">
        <v>0.48942045454545452</v>
      </c>
      <c r="G643">
        <v>2016</v>
      </c>
    </row>
    <row r="644" spans="1:7" x14ac:dyDescent="0.25">
      <c r="A644" t="s">
        <v>11</v>
      </c>
      <c r="B644" s="3">
        <v>42430</v>
      </c>
      <c r="C644" s="9">
        <v>441.06</v>
      </c>
      <c r="D644">
        <v>880</v>
      </c>
      <c r="E644" s="8">
        <v>1.9951933977236658</v>
      </c>
      <c r="F644" s="7">
        <v>0.5012045454545454</v>
      </c>
      <c r="G644">
        <v>2016</v>
      </c>
    </row>
    <row r="645" spans="1:7" x14ac:dyDescent="0.25">
      <c r="A645" t="s">
        <v>11</v>
      </c>
      <c r="B645" s="3">
        <v>42461</v>
      </c>
      <c r="C645" s="9">
        <v>438.56</v>
      </c>
      <c r="D645">
        <v>880</v>
      </c>
      <c r="E645" s="8">
        <v>2.0065669463699378</v>
      </c>
      <c r="F645" s="7">
        <v>0.49836363636363634</v>
      </c>
      <c r="G645">
        <v>2016</v>
      </c>
    </row>
    <row r="646" spans="1:7" x14ac:dyDescent="0.25">
      <c r="A646" t="s">
        <v>11</v>
      </c>
      <c r="B646" s="3">
        <v>42491</v>
      </c>
      <c r="C646" s="9">
        <v>420.63</v>
      </c>
      <c r="D646">
        <v>880</v>
      </c>
      <c r="E646" s="8">
        <v>2.0920999453201152</v>
      </c>
      <c r="F646" s="7">
        <v>0.47798863636363637</v>
      </c>
      <c r="G646">
        <v>2016</v>
      </c>
    </row>
    <row r="647" spans="1:7" x14ac:dyDescent="0.25">
      <c r="A647" t="s">
        <v>11</v>
      </c>
      <c r="B647" s="3">
        <v>42522</v>
      </c>
      <c r="C647" s="9">
        <v>463.24</v>
      </c>
      <c r="D647">
        <v>880</v>
      </c>
      <c r="E647" s="8">
        <v>1.8996632415162766</v>
      </c>
      <c r="F647" s="7">
        <v>0.52640909090909094</v>
      </c>
      <c r="G647">
        <v>2016</v>
      </c>
    </row>
    <row r="648" spans="1:7" x14ac:dyDescent="0.25">
      <c r="A648" t="s">
        <v>11</v>
      </c>
      <c r="B648" s="3">
        <v>42552</v>
      </c>
      <c r="C648" s="9">
        <v>443.11</v>
      </c>
      <c r="D648">
        <v>880</v>
      </c>
      <c r="E648" s="8">
        <v>1.9859628534675362</v>
      </c>
      <c r="F648" s="7">
        <v>0.50353409090909096</v>
      </c>
      <c r="G648">
        <v>2016</v>
      </c>
    </row>
    <row r="649" spans="1:7" x14ac:dyDescent="0.25">
      <c r="A649" t="s">
        <v>11</v>
      </c>
      <c r="B649" s="3">
        <v>42583</v>
      </c>
      <c r="C649" s="9">
        <v>457.11</v>
      </c>
      <c r="D649">
        <v>880</v>
      </c>
      <c r="E649" s="8">
        <v>1.9251383693202948</v>
      </c>
      <c r="F649" s="7">
        <v>0.51944318181818183</v>
      </c>
      <c r="G649">
        <v>2016</v>
      </c>
    </row>
    <row r="650" spans="1:7" x14ac:dyDescent="0.25">
      <c r="A650" t="s">
        <v>11</v>
      </c>
      <c r="B650" s="3">
        <v>42614</v>
      </c>
      <c r="C650" s="9">
        <v>449.05</v>
      </c>
      <c r="D650">
        <v>880</v>
      </c>
      <c r="E650" s="8">
        <v>1.9596926845562854</v>
      </c>
      <c r="F650" s="7">
        <v>0.51028409090909088</v>
      </c>
      <c r="G650">
        <v>2016</v>
      </c>
    </row>
    <row r="651" spans="1:7" x14ac:dyDescent="0.25">
      <c r="A651" t="s">
        <v>11</v>
      </c>
      <c r="B651" s="3">
        <v>42644</v>
      </c>
      <c r="C651" s="9">
        <v>475.32</v>
      </c>
      <c r="D651">
        <v>880</v>
      </c>
      <c r="E651" s="8">
        <v>1.851384330556257</v>
      </c>
      <c r="F651" s="7">
        <v>0.54013636363636364</v>
      </c>
      <c r="G651">
        <v>2016</v>
      </c>
    </row>
    <row r="652" spans="1:7" x14ac:dyDescent="0.25">
      <c r="A652" t="s">
        <v>11</v>
      </c>
      <c r="B652" s="3">
        <v>42675</v>
      </c>
      <c r="C652" s="9">
        <v>466.25</v>
      </c>
      <c r="D652">
        <v>880</v>
      </c>
      <c r="E652" s="8">
        <v>1.8873994638069704</v>
      </c>
      <c r="F652" s="7">
        <v>0.52982954545454541</v>
      </c>
      <c r="G652">
        <v>2016</v>
      </c>
    </row>
    <row r="653" spans="1:7" x14ac:dyDescent="0.25">
      <c r="A653" t="s">
        <v>11</v>
      </c>
      <c r="B653" s="3">
        <v>42705</v>
      </c>
      <c r="C653" s="9">
        <v>453.8</v>
      </c>
      <c r="D653">
        <v>880</v>
      </c>
      <c r="E653" s="8">
        <v>1.9391802556192155</v>
      </c>
      <c r="F653" s="7">
        <v>0.51568181818181824</v>
      </c>
      <c r="G653">
        <v>2016</v>
      </c>
    </row>
    <row r="654" spans="1:7" x14ac:dyDescent="0.25">
      <c r="A654" t="s">
        <v>11</v>
      </c>
      <c r="B654" s="3">
        <v>42736</v>
      </c>
      <c r="C654" s="9">
        <v>441.92</v>
      </c>
      <c r="D654">
        <v>937</v>
      </c>
      <c r="E654" s="8">
        <v>2.1202932657494569</v>
      </c>
      <c r="F654" s="7">
        <v>0.47163287086446104</v>
      </c>
      <c r="G654">
        <v>2017</v>
      </c>
    </row>
    <row r="655" spans="1:7" x14ac:dyDescent="0.25">
      <c r="A655" t="s">
        <v>11</v>
      </c>
      <c r="B655" s="3">
        <v>42767</v>
      </c>
      <c r="C655" s="9">
        <v>434.14</v>
      </c>
      <c r="D655">
        <v>937</v>
      </c>
      <c r="E655" s="8">
        <v>2.1582899525498687</v>
      </c>
      <c r="F655" s="7">
        <v>0.46332977588046959</v>
      </c>
      <c r="G655">
        <v>2017</v>
      </c>
    </row>
    <row r="656" spans="1:7" x14ac:dyDescent="0.25">
      <c r="A656" t="s">
        <v>11</v>
      </c>
      <c r="B656" s="3">
        <v>42795</v>
      </c>
      <c r="C656" s="9">
        <v>433.7</v>
      </c>
      <c r="D656">
        <v>937</v>
      </c>
      <c r="E656" s="8">
        <v>2.1604795941895318</v>
      </c>
      <c r="F656" s="7">
        <v>0.4628601921024546</v>
      </c>
      <c r="G656">
        <v>2017</v>
      </c>
    </row>
    <row r="657" spans="1:7" x14ac:dyDescent="0.25">
      <c r="A657" t="s">
        <v>11</v>
      </c>
      <c r="B657" s="3">
        <v>42826</v>
      </c>
      <c r="C657" s="9">
        <v>453.54</v>
      </c>
      <c r="D657">
        <v>937</v>
      </c>
      <c r="E657" s="8">
        <v>2.0659699254751511</v>
      </c>
      <c r="F657" s="7">
        <v>0.48403415154749202</v>
      </c>
      <c r="G657">
        <v>2017</v>
      </c>
    </row>
    <row r="658" spans="1:7" x14ac:dyDescent="0.25">
      <c r="A658" t="s">
        <v>11</v>
      </c>
      <c r="B658" s="3">
        <v>42856</v>
      </c>
      <c r="C658" s="9">
        <v>446.52</v>
      </c>
      <c r="D658">
        <v>937</v>
      </c>
      <c r="E658" s="8">
        <v>2.0984502373913823</v>
      </c>
      <c r="F658" s="7">
        <v>0.47654215581643539</v>
      </c>
      <c r="G658">
        <v>2017</v>
      </c>
    </row>
    <row r="659" spans="1:7" x14ac:dyDescent="0.25">
      <c r="A659" t="s">
        <v>11</v>
      </c>
      <c r="B659" s="3">
        <v>42887</v>
      </c>
      <c r="C659" s="9">
        <v>432.4</v>
      </c>
      <c r="D659">
        <v>937</v>
      </c>
      <c r="E659" s="8">
        <v>2.1669750231267346</v>
      </c>
      <c r="F659" s="7">
        <v>0.46147278548559229</v>
      </c>
      <c r="G659">
        <v>2017</v>
      </c>
    </row>
    <row r="660" spans="1:7" x14ac:dyDescent="0.25">
      <c r="A660" t="s">
        <v>11</v>
      </c>
      <c r="B660" s="3">
        <v>42917</v>
      </c>
      <c r="C660" s="9">
        <v>439.87</v>
      </c>
      <c r="D660">
        <v>937</v>
      </c>
      <c r="E660" s="8">
        <v>2.1301748243799303</v>
      </c>
      <c r="F660" s="7">
        <v>0.4694450373532551</v>
      </c>
      <c r="G660">
        <v>2017</v>
      </c>
    </row>
    <row r="661" spans="1:7" x14ac:dyDescent="0.25">
      <c r="A661" t="s">
        <v>11</v>
      </c>
      <c r="B661" s="3">
        <v>42948</v>
      </c>
      <c r="C661" s="9">
        <v>426.3</v>
      </c>
      <c r="D661">
        <v>937</v>
      </c>
      <c r="E661" s="8">
        <v>2.1979826413323948</v>
      </c>
      <c r="F661" s="7">
        <v>0.45496264674493064</v>
      </c>
      <c r="G661">
        <v>2017</v>
      </c>
    </row>
    <row r="662" spans="1:7" x14ac:dyDescent="0.25">
      <c r="A662" t="s">
        <v>11</v>
      </c>
      <c r="B662" s="3">
        <v>42979</v>
      </c>
      <c r="C662" s="9">
        <v>419.17</v>
      </c>
      <c r="D662">
        <v>937</v>
      </c>
      <c r="E662" s="8">
        <v>2.2353698976548895</v>
      </c>
      <c r="F662" s="7">
        <v>0.44735325506937035</v>
      </c>
      <c r="G662">
        <v>2017</v>
      </c>
    </row>
    <row r="663" spans="1:7" x14ac:dyDescent="0.25">
      <c r="A663" t="s">
        <v>11</v>
      </c>
      <c r="B663" s="3">
        <v>43009</v>
      </c>
      <c r="C663" s="9">
        <v>416.41</v>
      </c>
      <c r="D663">
        <v>937</v>
      </c>
      <c r="E663" s="8">
        <v>2.2501861146466222</v>
      </c>
      <c r="F663" s="7">
        <v>0.44440768409818571</v>
      </c>
      <c r="G663">
        <v>2017</v>
      </c>
    </row>
    <row r="664" spans="1:7" x14ac:dyDescent="0.25">
      <c r="A664" t="s">
        <v>11</v>
      </c>
      <c r="B664" s="3">
        <v>43040</v>
      </c>
      <c r="C664" s="9">
        <v>415</v>
      </c>
      <c r="D664">
        <v>937</v>
      </c>
      <c r="E664" s="8">
        <v>2.257831325301205</v>
      </c>
      <c r="F664" s="7">
        <v>0.44290288153681961</v>
      </c>
      <c r="G664">
        <v>2017</v>
      </c>
    </row>
    <row r="665" spans="1:7" x14ac:dyDescent="0.25">
      <c r="A665" t="s">
        <v>11</v>
      </c>
      <c r="B665" s="3">
        <v>43070</v>
      </c>
      <c r="C665" s="9">
        <v>418.61</v>
      </c>
      <c r="D665">
        <v>937</v>
      </c>
      <c r="E665" s="8">
        <v>2.2383602876185469</v>
      </c>
      <c r="F665" s="7">
        <v>0.44675560298826045</v>
      </c>
      <c r="G665">
        <v>2017</v>
      </c>
    </row>
    <row r="666" spans="1:7" x14ac:dyDescent="0.25">
      <c r="A666" t="s">
        <v>11</v>
      </c>
      <c r="B666" s="3">
        <v>43101</v>
      </c>
      <c r="C666" s="9">
        <v>430.52</v>
      </c>
      <c r="D666">
        <v>954</v>
      </c>
      <c r="E666" s="8">
        <v>2.2159249279940538</v>
      </c>
      <c r="F666" s="7">
        <v>0.4512788259958071</v>
      </c>
      <c r="G666">
        <v>2018</v>
      </c>
    </row>
    <row r="667" spans="1:7" x14ac:dyDescent="0.25">
      <c r="A667" t="s">
        <v>11</v>
      </c>
      <c r="B667" s="3">
        <v>43132</v>
      </c>
      <c r="C667" s="9">
        <v>425.05</v>
      </c>
      <c r="D667">
        <v>954</v>
      </c>
      <c r="E667" s="8">
        <v>2.2444418303728972</v>
      </c>
      <c r="F667" s="7">
        <v>0.44554507337526206</v>
      </c>
      <c r="G667">
        <v>2018</v>
      </c>
    </row>
    <row r="668" spans="1:7" x14ac:dyDescent="0.25">
      <c r="A668" t="s">
        <v>11</v>
      </c>
      <c r="B668" s="3">
        <v>43160</v>
      </c>
      <c r="C668" s="9">
        <v>426.79</v>
      </c>
      <c r="D668">
        <v>954</v>
      </c>
      <c r="E668" s="8">
        <v>2.2352913610909346</v>
      </c>
      <c r="F668" s="7">
        <v>0.44736897274633125</v>
      </c>
      <c r="G668">
        <v>2018</v>
      </c>
    </row>
    <row r="669" spans="1:7" x14ac:dyDescent="0.25">
      <c r="A669" t="s">
        <v>11</v>
      </c>
      <c r="B669" s="3">
        <v>43191</v>
      </c>
      <c r="C669" s="9">
        <v>426.73</v>
      </c>
      <c r="D669">
        <v>954</v>
      </c>
      <c r="E669" s="8">
        <v>2.2356056522859888</v>
      </c>
      <c r="F669" s="7">
        <v>0.44730607966457026</v>
      </c>
      <c r="G669">
        <v>2018</v>
      </c>
    </row>
    <row r="670" spans="1:7" x14ac:dyDescent="0.25">
      <c r="A670" t="s">
        <v>11</v>
      </c>
      <c r="B670" s="3">
        <v>43221</v>
      </c>
      <c r="C670" s="9">
        <v>441.62</v>
      </c>
      <c r="D670">
        <v>954</v>
      </c>
      <c r="E670" s="8">
        <v>2.1602282505321315</v>
      </c>
      <c r="F670" s="7">
        <v>0.46291404612159331</v>
      </c>
      <c r="G670">
        <v>2018</v>
      </c>
    </row>
    <row r="671" spans="1:7" x14ac:dyDescent="0.25">
      <c r="A671" t="s">
        <v>11</v>
      </c>
      <c r="B671" s="3">
        <v>43252</v>
      </c>
      <c r="C671" s="9">
        <v>425.3</v>
      </c>
      <c r="D671">
        <v>954</v>
      </c>
      <c r="E671" s="8">
        <v>2.2431225017634611</v>
      </c>
      <c r="F671" s="7">
        <v>0.44580712788259957</v>
      </c>
      <c r="G671">
        <v>2018</v>
      </c>
    </row>
    <row r="672" spans="1:7" x14ac:dyDescent="0.25">
      <c r="A672" t="s">
        <v>11</v>
      </c>
      <c r="B672" s="3">
        <v>43282</v>
      </c>
      <c r="C672" s="9">
        <v>415.27</v>
      </c>
      <c r="D672">
        <v>954</v>
      </c>
      <c r="E672" s="8">
        <v>2.2973005514484552</v>
      </c>
      <c r="F672" s="7">
        <v>0.43529350104821801</v>
      </c>
      <c r="G672">
        <v>2018</v>
      </c>
    </row>
    <row r="673" spans="1:7" x14ac:dyDescent="0.25">
      <c r="A673" t="s">
        <v>11</v>
      </c>
      <c r="B673" s="3">
        <v>43313</v>
      </c>
      <c r="C673" s="9">
        <v>431.3</v>
      </c>
      <c r="D673">
        <v>954</v>
      </c>
      <c r="E673" s="8">
        <v>2.2119174588453512</v>
      </c>
      <c r="F673" s="7">
        <v>0.4520964360587002</v>
      </c>
      <c r="G673">
        <v>2018</v>
      </c>
    </row>
    <row r="674" spans="1:7" x14ac:dyDescent="0.25">
      <c r="A674" t="s">
        <v>11</v>
      </c>
      <c r="B674" s="3">
        <v>43344</v>
      </c>
      <c r="C674" s="9">
        <v>435.47</v>
      </c>
      <c r="D674">
        <v>954</v>
      </c>
      <c r="E674" s="8">
        <v>2.1907364456793808</v>
      </c>
      <c r="F674" s="7">
        <v>0.4564675052410902</v>
      </c>
      <c r="G674">
        <v>2018</v>
      </c>
    </row>
    <row r="675" spans="1:7" x14ac:dyDescent="0.25">
      <c r="A675" t="s">
        <v>11</v>
      </c>
      <c r="B675" s="3">
        <v>43374</v>
      </c>
      <c r="C675" s="9">
        <v>450.35</v>
      </c>
      <c r="D675">
        <v>954</v>
      </c>
      <c r="E675" s="8">
        <v>2.1183523925835459</v>
      </c>
      <c r="F675" s="7">
        <v>0.47206498951781972</v>
      </c>
      <c r="G675">
        <v>2018</v>
      </c>
    </row>
    <row r="676" spans="1:7" x14ac:dyDescent="0.25">
      <c r="A676" t="s">
        <v>11</v>
      </c>
      <c r="B676" s="3">
        <v>43405</v>
      </c>
      <c r="C676" s="9">
        <v>454.87</v>
      </c>
      <c r="D676">
        <v>954</v>
      </c>
      <c r="E676" s="8">
        <v>2.0973025259964384</v>
      </c>
      <c r="F676" s="7">
        <v>0.47680293501048221</v>
      </c>
      <c r="G676">
        <v>2018</v>
      </c>
    </row>
    <row r="677" spans="1:7" x14ac:dyDescent="0.25">
      <c r="A677" t="s">
        <v>11</v>
      </c>
      <c r="B677" s="3">
        <v>43435</v>
      </c>
      <c r="C677" s="9">
        <v>457.82</v>
      </c>
      <c r="D677">
        <v>954</v>
      </c>
      <c r="E677" s="8">
        <v>2.0837883884496091</v>
      </c>
      <c r="F677" s="7">
        <v>0.47989517819706501</v>
      </c>
      <c r="G677">
        <v>2018</v>
      </c>
    </row>
    <row r="678" spans="1:7" x14ac:dyDescent="0.25">
      <c r="A678" t="s">
        <v>11</v>
      </c>
      <c r="B678" s="3">
        <v>43466</v>
      </c>
      <c r="C678" s="9">
        <v>437.55</v>
      </c>
      <c r="D678">
        <v>998</v>
      </c>
      <c r="E678" s="8">
        <v>2.2808821848931551</v>
      </c>
      <c r="F678" s="7">
        <v>0.43842685370741485</v>
      </c>
      <c r="G678">
        <v>2019</v>
      </c>
    </row>
    <row r="679" spans="1:7" x14ac:dyDescent="0.25">
      <c r="A679" t="s">
        <v>11</v>
      </c>
      <c r="B679" s="3">
        <v>43497</v>
      </c>
      <c r="C679" s="9">
        <v>441.89</v>
      </c>
      <c r="D679">
        <v>998</v>
      </c>
      <c r="E679" s="8">
        <v>2.258480617348209</v>
      </c>
      <c r="F679" s="7">
        <v>0.4427755511022044</v>
      </c>
      <c r="G679">
        <v>2019</v>
      </c>
    </row>
    <row r="680" spans="1:7" x14ac:dyDescent="0.25">
      <c r="A680" t="s">
        <v>11</v>
      </c>
      <c r="B680" s="3">
        <v>43525</v>
      </c>
      <c r="C680" s="9">
        <v>474.07</v>
      </c>
      <c r="D680">
        <v>998</v>
      </c>
      <c r="E680" s="8">
        <v>2.1051743413419959</v>
      </c>
      <c r="F680" s="7">
        <v>0.4750200400801603</v>
      </c>
      <c r="G680">
        <v>2019</v>
      </c>
    </row>
    <row r="681" spans="1:7" x14ac:dyDescent="0.25">
      <c r="A681" t="s">
        <v>11</v>
      </c>
      <c r="B681" s="3">
        <v>43556</v>
      </c>
      <c r="C681" s="9">
        <v>482.3</v>
      </c>
      <c r="D681">
        <v>998</v>
      </c>
      <c r="E681" s="8">
        <v>2.0692515032137675</v>
      </c>
      <c r="F681" s="7">
        <v>0.48326653306613226</v>
      </c>
      <c r="G681">
        <v>2019</v>
      </c>
    </row>
    <row r="682" spans="1:7" x14ac:dyDescent="0.25">
      <c r="A682" t="s">
        <v>11</v>
      </c>
      <c r="B682" s="3">
        <v>43586</v>
      </c>
      <c r="C682" s="9">
        <v>487.93</v>
      </c>
      <c r="D682">
        <v>998</v>
      </c>
      <c r="E682" s="8">
        <v>2.0453753612198469</v>
      </c>
      <c r="F682" s="7">
        <v>0.48890781563126251</v>
      </c>
      <c r="G682">
        <v>2019</v>
      </c>
    </row>
    <row r="683" spans="1:7" x14ac:dyDescent="0.25">
      <c r="A683" t="s">
        <v>11</v>
      </c>
      <c r="B683" s="3">
        <v>43617</v>
      </c>
      <c r="C683" s="9">
        <v>494.96</v>
      </c>
      <c r="D683">
        <v>998</v>
      </c>
      <c r="E683" s="8">
        <v>2.0163245514789074</v>
      </c>
      <c r="F683" s="7">
        <v>0.49595190380761522</v>
      </c>
      <c r="G683">
        <v>2019</v>
      </c>
    </row>
    <row r="684" spans="1:7" x14ac:dyDescent="0.25">
      <c r="A684" t="s">
        <v>11</v>
      </c>
      <c r="B684" s="3">
        <v>43647</v>
      </c>
      <c r="C684" s="9">
        <v>483.2</v>
      </c>
      <c r="D684">
        <v>998</v>
      </c>
      <c r="E684" s="8">
        <v>2.0653973509933774</v>
      </c>
      <c r="F684" s="7">
        <v>0.48416833667334669</v>
      </c>
      <c r="G684">
        <v>2019</v>
      </c>
    </row>
    <row r="685" spans="1:7" x14ac:dyDescent="0.25">
      <c r="A685" t="s">
        <v>11</v>
      </c>
      <c r="B685" s="3">
        <v>43678</v>
      </c>
      <c r="C685" s="9">
        <v>464.24</v>
      </c>
      <c r="D685">
        <v>998</v>
      </c>
      <c r="E685" s="8">
        <v>2.1497501292434946</v>
      </c>
      <c r="F685" s="7">
        <v>0.46517034068136276</v>
      </c>
      <c r="G685">
        <v>2019</v>
      </c>
    </row>
    <row r="686" spans="1:7" x14ac:dyDescent="0.25">
      <c r="A686" t="s">
        <v>11</v>
      </c>
      <c r="B686" s="3">
        <v>43709</v>
      </c>
      <c r="C686" s="9">
        <v>454.94</v>
      </c>
      <c r="D686">
        <v>998</v>
      </c>
      <c r="E686" s="8">
        <v>2.1936958719831186</v>
      </c>
      <c r="F686" s="7">
        <v>0.45585170340681364</v>
      </c>
      <c r="G686">
        <v>2019</v>
      </c>
    </row>
    <row r="687" spans="1:7" x14ac:dyDescent="0.25">
      <c r="A687" t="s">
        <v>11</v>
      </c>
      <c r="B687" s="3">
        <v>43739</v>
      </c>
      <c r="C687" s="9">
        <v>458.28</v>
      </c>
      <c r="D687">
        <v>998</v>
      </c>
      <c r="E687" s="8">
        <v>2.1777079514707167</v>
      </c>
      <c r="F687" s="7">
        <v>0.45919839679358715</v>
      </c>
      <c r="G687">
        <v>2019</v>
      </c>
    </row>
    <row r="688" spans="1:7" x14ac:dyDescent="0.25">
      <c r="A688" t="s">
        <v>11</v>
      </c>
      <c r="B688" s="3">
        <v>43770</v>
      </c>
      <c r="C688" s="9">
        <v>478.68</v>
      </c>
      <c r="D688">
        <v>998</v>
      </c>
      <c r="E688" s="8">
        <v>2.0849001420573243</v>
      </c>
      <c r="F688" s="7">
        <v>0.47963927855711425</v>
      </c>
      <c r="G688">
        <v>2019</v>
      </c>
    </row>
    <row r="689" spans="1:7" x14ac:dyDescent="0.25">
      <c r="A689" t="s">
        <v>11</v>
      </c>
      <c r="B689" s="3">
        <v>43800</v>
      </c>
      <c r="C689" s="9">
        <v>511.7</v>
      </c>
      <c r="D689">
        <v>998</v>
      </c>
      <c r="E689" s="8">
        <v>1.9503615399648231</v>
      </c>
      <c r="F689" s="7">
        <v>0.51272545090180355</v>
      </c>
      <c r="G689">
        <v>2019</v>
      </c>
    </row>
    <row r="690" spans="1:7" x14ac:dyDescent="0.25">
      <c r="A690" t="s">
        <v>11</v>
      </c>
      <c r="B690" s="3">
        <v>43831</v>
      </c>
      <c r="C690" s="9">
        <v>489.13</v>
      </c>
      <c r="D690">
        <v>1039</v>
      </c>
      <c r="E690" s="8">
        <v>2.124179665937481</v>
      </c>
      <c r="F690" s="7">
        <v>0.47076997112608276</v>
      </c>
      <c r="G690">
        <v>2020</v>
      </c>
    </row>
    <row r="691" spans="1:7" x14ac:dyDescent="0.25">
      <c r="A691" t="s">
        <v>11</v>
      </c>
      <c r="B691" s="3">
        <v>43862</v>
      </c>
      <c r="C691" s="9">
        <v>493.15</v>
      </c>
      <c r="D691">
        <v>1045</v>
      </c>
      <c r="E691" s="8">
        <v>2.1190307208760015</v>
      </c>
      <c r="F691" s="7">
        <v>0.47191387559808612</v>
      </c>
      <c r="G691">
        <v>2020</v>
      </c>
    </row>
    <row r="692" spans="1:7" x14ac:dyDescent="0.25">
      <c r="A692" t="s">
        <v>11</v>
      </c>
      <c r="B692" s="3">
        <v>43891</v>
      </c>
      <c r="C692" s="9">
        <v>517.13</v>
      </c>
      <c r="D692">
        <v>1045</v>
      </c>
      <c r="E692" s="8">
        <v>2.0207684721443351</v>
      </c>
      <c r="F692" s="7">
        <v>0.49486124401913872</v>
      </c>
      <c r="G692">
        <v>2020</v>
      </c>
    </row>
    <row r="693" spans="1:7" x14ac:dyDescent="0.25">
      <c r="A693" t="s">
        <v>11</v>
      </c>
      <c r="B693" s="3">
        <v>43922</v>
      </c>
      <c r="C693" s="9">
        <v>523.79999999999995</v>
      </c>
      <c r="D693">
        <v>1045</v>
      </c>
      <c r="E693" s="8">
        <v>1.995036273386789</v>
      </c>
      <c r="F693" s="7">
        <v>0.50124401913875594</v>
      </c>
      <c r="G693">
        <v>2020</v>
      </c>
    </row>
    <row r="694" spans="1:7" x14ac:dyDescent="0.25">
      <c r="A694" t="s">
        <v>11</v>
      </c>
      <c r="B694" s="3">
        <v>43952</v>
      </c>
      <c r="C694" s="9">
        <v>524.07000000000005</v>
      </c>
      <c r="D694">
        <v>1045</v>
      </c>
      <c r="E694" s="8">
        <v>1.9940084339878259</v>
      </c>
      <c r="F694" s="7">
        <v>0.50150239234449767</v>
      </c>
      <c r="G694">
        <v>2020</v>
      </c>
    </row>
    <row r="695" spans="1:7" x14ac:dyDescent="0.25">
      <c r="A695" t="s">
        <v>11</v>
      </c>
      <c r="B695" s="3">
        <v>43983</v>
      </c>
      <c r="C695" s="9">
        <v>516.97</v>
      </c>
      <c r="D695">
        <v>1045</v>
      </c>
      <c r="E695" s="8">
        <v>2.0213938913283167</v>
      </c>
      <c r="F695" s="7">
        <v>0.49470813397129187</v>
      </c>
      <c r="G695">
        <v>2020</v>
      </c>
    </row>
    <row r="696" spans="1:7" x14ac:dyDescent="0.25">
      <c r="A696" t="s">
        <v>11</v>
      </c>
      <c r="B696" s="3">
        <v>44013</v>
      </c>
      <c r="C696" s="9">
        <v>522.03</v>
      </c>
      <c r="D696">
        <v>1045</v>
      </c>
      <c r="E696" s="8">
        <v>2.0018006627971574</v>
      </c>
      <c r="F696" s="7">
        <v>0.49955023923444974</v>
      </c>
      <c r="G696">
        <v>2020</v>
      </c>
    </row>
    <row r="697" spans="1:7" x14ac:dyDescent="0.25">
      <c r="A697" t="s">
        <v>11</v>
      </c>
      <c r="B697" s="3">
        <v>44044</v>
      </c>
      <c r="C697" s="9">
        <v>530.41999999999996</v>
      </c>
      <c r="D697">
        <v>1045</v>
      </c>
      <c r="E697" s="8">
        <v>1.9701368726669433</v>
      </c>
      <c r="F697" s="7">
        <v>0.50757894736842102</v>
      </c>
      <c r="G697">
        <v>2020</v>
      </c>
    </row>
    <row r="698" spans="1:7" x14ac:dyDescent="0.25">
      <c r="A698" t="s">
        <v>11</v>
      </c>
      <c r="B698" s="3">
        <v>44075</v>
      </c>
      <c r="C698" s="9">
        <v>582.4</v>
      </c>
      <c r="D698">
        <v>1045</v>
      </c>
      <c r="E698" s="8">
        <v>1.7942994505494507</v>
      </c>
      <c r="F698" s="7">
        <v>0.55732057416267944</v>
      </c>
      <c r="G698">
        <v>2020</v>
      </c>
    </row>
    <row r="699" spans="1:7" x14ac:dyDescent="0.25">
      <c r="A699" t="s">
        <v>11</v>
      </c>
      <c r="B699" s="3">
        <v>44105</v>
      </c>
      <c r="C699" s="9">
        <v>584.76</v>
      </c>
      <c r="D699">
        <v>1045</v>
      </c>
      <c r="E699" s="8">
        <v>1.7870579382994733</v>
      </c>
      <c r="F699" s="7">
        <v>0.55957894736842106</v>
      </c>
      <c r="G699">
        <v>2020</v>
      </c>
    </row>
    <row r="700" spans="1:7" x14ac:dyDescent="0.25">
      <c r="A700" t="s">
        <v>11</v>
      </c>
      <c r="B700" s="3">
        <v>44136</v>
      </c>
      <c r="C700" s="9">
        <v>616.98</v>
      </c>
      <c r="D700">
        <v>1045</v>
      </c>
      <c r="E700" s="8">
        <v>1.6937339946189502</v>
      </c>
      <c r="F700" s="7">
        <v>0.5904114832535885</v>
      </c>
      <c r="G700">
        <v>2020</v>
      </c>
    </row>
    <row r="701" spans="1:7" x14ac:dyDescent="0.25">
      <c r="A701" t="s">
        <v>11</v>
      </c>
      <c r="B701" s="3">
        <v>44166</v>
      </c>
      <c r="C701" s="9">
        <v>615.57000000000005</v>
      </c>
      <c r="D701">
        <v>1045</v>
      </c>
      <c r="E701" s="8">
        <v>1.697613593904836</v>
      </c>
      <c r="F701" s="7">
        <v>0.58906220095693784</v>
      </c>
      <c r="G701">
        <v>2020</v>
      </c>
    </row>
    <row r="702" spans="1:7" x14ac:dyDescent="0.25">
      <c r="A702" t="s">
        <v>11</v>
      </c>
      <c r="B702" s="3">
        <v>44197</v>
      </c>
      <c r="C702" s="9">
        <v>651.37</v>
      </c>
      <c r="D702">
        <v>1100</v>
      </c>
      <c r="E702" s="8">
        <v>1.6887483304419915</v>
      </c>
      <c r="F702" s="7">
        <v>0.59215454545454549</v>
      </c>
      <c r="G702">
        <v>2021</v>
      </c>
    </row>
    <row r="703" spans="1:7" x14ac:dyDescent="0.25">
      <c r="A703" t="s">
        <v>11</v>
      </c>
      <c r="B703" s="3">
        <v>44228</v>
      </c>
      <c r="C703" s="9">
        <v>639.80999999999995</v>
      </c>
      <c r="D703">
        <v>1100</v>
      </c>
      <c r="E703" s="8">
        <v>1.7192604054328631</v>
      </c>
      <c r="F703" s="7">
        <v>0.58164545454545447</v>
      </c>
      <c r="G703">
        <v>2021</v>
      </c>
    </row>
    <row r="704" spans="1:7" x14ac:dyDescent="0.25">
      <c r="A704" t="s">
        <v>11</v>
      </c>
      <c r="B704" s="3">
        <v>44256</v>
      </c>
      <c r="C704" s="9">
        <v>632.75</v>
      </c>
      <c r="D704">
        <v>1100</v>
      </c>
      <c r="E704" s="8">
        <v>1.7384433030422757</v>
      </c>
      <c r="F704" s="7">
        <v>0.5752272727272727</v>
      </c>
      <c r="G704">
        <v>2021</v>
      </c>
    </row>
    <row r="705" spans="1:7" x14ac:dyDescent="0.25">
      <c r="A705" t="s">
        <v>11</v>
      </c>
      <c r="B705" s="3">
        <v>44287</v>
      </c>
      <c r="C705" s="9">
        <v>634.53</v>
      </c>
      <c r="D705">
        <v>1100</v>
      </c>
      <c r="E705" s="8">
        <v>1.7335665768363986</v>
      </c>
      <c r="F705" s="7">
        <v>0.57684545454545455</v>
      </c>
      <c r="G705">
        <v>2021</v>
      </c>
    </row>
    <row r="706" spans="1:7" x14ac:dyDescent="0.25">
      <c r="A706" t="s">
        <v>11</v>
      </c>
      <c r="B706" s="3">
        <v>44317</v>
      </c>
      <c r="C706" s="9">
        <v>636.37</v>
      </c>
      <c r="D706">
        <v>1100</v>
      </c>
      <c r="E706" s="8">
        <v>1.7285541430299982</v>
      </c>
      <c r="F706" s="7">
        <v>0.57851818181818182</v>
      </c>
      <c r="G706">
        <v>2021</v>
      </c>
    </row>
    <row r="707" spans="1:7" x14ac:dyDescent="0.25">
      <c r="A707" t="s">
        <v>11</v>
      </c>
      <c r="B707" s="3">
        <v>44348</v>
      </c>
      <c r="C707" s="9">
        <v>645.38</v>
      </c>
      <c r="D707">
        <v>1100</v>
      </c>
      <c r="E707" s="8">
        <v>1.7044222008739038</v>
      </c>
      <c r="F707" s="7">
        <v>0.58670909090909096</v>
      </c>
      <c r="G707">
        <v>2021</v>
      </c>
    </row>
    <row r="708" spans="1:7" x14ac:dyDescent="0.25">
      <c r="A708" t="s">
        <v>11</v>
      </c>
      <c r="B708" s="3">
        <v>44378</v>
      </c>
      <c r="C708" s="9">
        <v>654.42999999999995</v>
      </c>
      <c r="D708">
        <v>1100</v>
      </c>
      <c r="E708" s="8">
        <v>1.6808520391791331</v>
      </c>
      <c r="F708" s="7">
        <v>0.5949363636363636</v>
      </c>
      <c r="G708">
        <v>2021</v>
      </c>
    </row>
    <row r="709" spans="1:7" x14ac:dyDescent="0.25">
      <c r="A709" t="s">
        <v>11</v>
      </c>
      <c r="B709" s="3">
        <v>44409</v>
      </c>
      <c r="C709" s="9">
        <v>659</v>
      </c>
      <c r="D709">
        <v>1100</v>
      </c>
      <c r="E709" s="8">
        <v>1.6691957511380879</v>
      </c>
      <c r="F709" s="7">
        <v>0.59909090909090912</v>
      </c>
      <c r="G709">
        <v>2021</v>
      </c>
    </row>
    <row r="710" spans="1:7" x14ac:dyDescent="0.25">
      <c r="A710" t="s">
        <v>11</v>
      </c>
      <c r="B710" s="3">
        <v>44440</v>
      </c>
      <c r="C710" s="9">
        <v>662.85</v>
      </c>
      <c r="D710">
        <v>1100</v>
      </c>
      <c r="E710" s="8">
        <v>1.6595006411707023</v>
      </c>
      <c r="F710" s="7">
        <v>0.60259090909090907</v>
      </c>
      <c r="G710">
        <v>2021</v>
      </c>
    </row>
    <row r="711" spans="1:7" x14ac:dyDescent="0.25">
      <c r="A711" t="s">
        <v>11</v>
      </c>
      <c r="B711" s="3">
        <v>44470</v>
      </c>
      <c r="C711" s="9">
        <v>700.69</v>
      </c>
      <c r="D711">
        <v>1100</v>
      </c>
      <c r="E711" s="8">
        <v>1.5698811171844895</v>
      </c>
      <c r="F711" s="7">
        <v>0.63699090909090916</v>
      </c>
      <c r="G711">
        <v>2021</v>
      </c>
    </row>
    <row r="712" spans="1:7" x14ac:dyDescent="0.25">
      <c r="A712" t="s">
        <v>11</v>
      </c>
      <c r="B712" s="3">
        <v>44501</v>
      </c>
      <c r="C712" s="9">
        <v>710.53</v>
      </c>
      <c r="D712">
        <v>1100</v>
      </c>
      <c r="E712" s="8">
        <v>1.5481401207549295</v>
      </c>
      <c r="F712" s="7">
        <v>0.64593636363636364</v>
      </c>
      <c r="G712">
        <v>2021</v>
      </c>
    </row>
    <row r="713" spans="1:7" x14ac:dyDescent="0.25">
      <c r="A713" t="s">
        <v>11</v>
      </c>
      <c r="B713" s="3">
        <v>44531</v>
      </c>
      <c r="C713" s="9">
        <v>689.56</v>
      </c>
      <c r="D713">
        <v>1100</v>
      </c>
      <c r="E713" s="8">
        <v>1.5952201403793724</v>
      </c>
      <c r="F713" s="7">
        <v>0.62687272727272725</v>
      </c>
      <c r="G713">
        <v>2021</v>
      </c>
    </row>
    <row r="714" spans="1:7" x14ac:dyDescent="0.25">
      <c r="A714" t="s">
        <v>11</v>
      </c>
      <c r="B714" s="3">
        <v>44562</v>
      </c>
      <c r="C714" s="9">
        <v>695.59</v>
      </c>
      <c r="D714">
        <v>1212</v>
      </c>
      <c r="E714" s="8">
        <v>1.7424057275118963</v>
      </c>
      <c r="F714" s="7">
        <v>0.57391914191419147</v>
      </c>
      <c r="G714">
        <v>2022</v>
      </c>
    </row>
    <row r="715" spans="1:7" x14ac:dyDescent="0.25">
      <c r="A715" t="s">
        <v>11</v>
      </c>
      <c r="B715" s="3">
        <v>44593</v>
      </c>
      <c r="C715" s="9">
        <v>707.56</v>
      </c>
      <c r="D715">
        <v>1212</v>
      </c>
      <c r="E715" s="8">
        <v>1.7129289388885749</v>
      </c>
      <c r="F715" s="7">
        <v>0.5837953795379538</v>
      </c>
      <c r="G715">
        <v>2022</v>
      </c>
    </row>
    <row r="716" spans="1:7" x14ac:dyDescent="0.25">
      <c r="A716" t="s">
        <v>11</v>
      </c>
      <c r="B716" s="3">
        <v>44621</v>
      </c>
      <c r="C716" s="9">
        <v>745.47</v>
      </c>
      <c r="D716">
        <v>1212</v>
      </c>
      <c r="E716" s="8">
        <v>1.6258199525131796</v>
      </c>
      <c r="F716" s="7">
        <v>0.61507425742574262</v>
      </c>
      <c r="G716">
        <v>2022</v>
      </c>
    </row>
    <row r="717" spans="1:7" x14ac:dyDescent="0.25">
      <c r="A717" t="s">
        <v>11</v>
      </c>
      <c r="B717" s="3">
        <v>44652</v>
      </c>
      <c r="C717" s="9">
        <v>788</v>
      </c>
      <c r="D717">
        <v>1212</v>
      </c>
      <c r="E717" s="8">
        <v>1.5380710659898478</v>
      </c>
      <c r="F717" s="7">
        <v>0.65016501650165015</v>
      </c>
      <c r="G717">
        <v>2022</v>
      </c>
    </row>
    <row r="718" spans="1:7" x14ac:dyDescent="0.25">
      <c r="A718" t="s">
        <v>11</v>
      </c>
      <c r="B718" s="3">
        <v>44682</v>
      </c>
      <c r="C718" s="9">
        <v>772.07</v>
      </c>
      <c r="D718">
        <v>1212</v>
      </c>
      <c r="E718" s="8">
        <v>1.569805846620125</v>
      </c>
      <c r="F718" s="7">
        <v>0.63702145214521455</v>
      </c>
      <c r="G718">
        <v>2022</v>
      </c>
    </row>
    <row r="719" spans="1:7" x14ac:dyDescent="0.25">
      <c r="A719" t="s">
        <v>11</v>
      </c>
      <c r="B719" s="3">
        <v>44713</v>
      </c>
      <c r="C719" s="9">
        <v>760.41</v>
      </c>
      <c r="D719">
        <v>1212</v>
      </c>
      <c r="E719" s="8">
        <v>1.5938769874146843</v>
      </c>
      <c r="F719" s="7">
        <v>0.62740099009900985</v>
      </c>
      <c r="G719">
        <v>2022</v>
      </c>
    </row>
    <row r="720" spans="1:7" x14ac:dyDescent="0.25">
      <c r="A720" t="s">
        <v>11</v>
      </c>
      <c r="B720" s="3">
        <v>44743</v>
      </c>
      <c r="C720" s="9">
        <v>753.73</v>
      </c>
      <c r="D720">
        <v>1212</v>
      </c>
      <c r="E720" s="8">
        <v>1.6080028657476815</v>
      </c>
      <c r="F720" s="7">
        <v>0.62188943894389437</v>
      </c>
      <c r="G720">
        <v>2022</v>
      </c>
    </row>
    <row r="721" spans="1:7" x14ac:dyDescent="0.25">
      <c r="A721" t="s">
        <v>11</v>
      </c>
      <c r="B721" s="3">
        <v>44774</v>
      </c>
      <c r="C721" s="9">
        <v>746.21</v>
      </c>
      <c r="D721">
        <v>1212</v>
      </c>
      <c r="E721" s="8">
        <v>1.6242076627222899</v>
      </c>
      <c r="F721" s="7">
        <v>0.6156848184818482</v>
      </c>
      <c r="G721">
        <v>2022</v>
      </c>
    </row>
    <row r="722" spans="1:7" x14ac:dyDescent="0.25">
      <c r="A722" t="s">
        <v>11</v>
      </c>
      <c r="B722" s="3">
        <v>44805</v>
      </c>
      <c r="C722" s="9">
        <v>746.55</v>
      </c>
      <c r="D722">
        <v>1212</v>
      </c>
      <c r="E722" s="8">
        <v>1.6234679525818767</v>
      </c>
      <c r="F722" s="7">
        <v>0.6159653465346534</v>
      </c>
      <c r="G722">
        <v>2022</v>
      </c>
    </row>
    <row r="723" spans="1:7" x14ac:dyDescent="0.25">
      <c r="A723" t="s">
        <v>11</v>
      </c>
      <c r="B723" s="3">
        <v>44835</v>
      </c>
      <c r="C723" s="9">
        <v>753.82</v>
      </c>
      <c r="D723">
        <v>1212</v>
      </c>
      <c r="E723" s="8">
        <v>1.6078108832347244</v>
      </c>
      <c r="F723" s="7">
        <v>0.621963696369637</v>
      </c>
      <c r="G723">
        <v>2022</v>
      </c>
    </row>
    <row r="724" spans="1:7" x14ac:dyDescent="0.25">
      <c r="A724" t="s">
        <v>11</v>
      </c>
      <c r="B724" s="3">
        <v>44866</v>
      </c>
      <c r="C724" s="9">
        <v>776.14</v>
      </c>
      <c r="D724">
        <v>1212</v>
      </c>
      <c r="E724" s="8">
        <v>1.561573942845363</v>
      </c>
      <c r="F724" s="7">
        <v>0.64037953795379532</v>
      </c>
      <c r="G724">
        <v>2022</v>
      </c>
    </row>
    <row r="725" spans="1:7" x14ac:dyDescent="0.25">
      <c r="A725" t="s">
        <v>11</v>
      </c>
      <c r="B725" s="3">
        <v>44896</v>
      </c>
      <c r="C725" s="9">
        <v>769.19</v>
      </c>
      <c r="D725">
        <v>1212</v>
      </c>
      <c r="E725" s="8">
        <v>1.575683511226095</v>
      </c>
      <c r="F725" s="7">
        <v>0.63464521452145217</v>
      </c>
      <c r="G725">
        <v>2022</v>
      </c>
    </row>
    <row r="726" spans="1:7" x14ac:dyDescent="0.25">
      <c r="A726" t="s">
        <v>11</v>
      </c>
      <c r="B726" s="3">
        <v>44927</v>
      </c>
      <c r="C726" s="9">
        <v>760.65</v>
      </c>
      <c r="D726">
        <v>1302</v>
      </c>
      <c r="E726" s="8">
        <v>1.7116939459672649</v>
      </c>
      <c r="F726" s="7">
        <v>0.58421658986175118</v>
      </c>
      <c r="G726">
        <v>2023</v>
      </c>
    </row>
    <row r="727" spans="1:7" x14ac:dyDescent="0.25">
      <c r="A727" t="s">
        <v>11</v>
      </c>
      <c r="B727" s="3">
        <v>44958</v>
      </c>
      <c r="C727" s="9">
        <v>746.95</v>
      </c>
      <c r="D727">
        <v>1302</v>
      </c>
      <c r="E727" s="8">
        <v>1.7430885601445878</v>
      </c>
      <c r="F727" s="7">
        <v>0.57369431643625191</v>
      </c>
      <c r="G727">
        <v>2023</v>
      </c>
    </row>
    <row r="728" spans="1:7" x14ac:dyDescent="0.25">
      <c r="A728" t="s">
        <v>11</v>
      </c>
      <c r="B728" s="3">
        <v>44986</v>
      </c>
      <c r="C728" s="9">
        <v>742.23</v>
      </c>
      <c r="D728">
        <v>1302</v>
      </c>
      <c r="E728" s="8">
        <v>1.7541732347116124</v>
      </c>
      <c r="F728" s="7">
        <v>0.57006912442396318</v>
      </c>
      <c r="G728">
        <v>2023</v>
      </c>
    </row>
    <row r="729" spans="1:7" x14ac:dyDescent="0.25">
      <c r="A729" t="s">
        <v>11</v>
      </c>
      <c r="B729" s="3">
        <v>45017</v>
      </c>
      <c r="C729" s="9">
        <v>769.35</v>
      </c>
      <c r="D729">
        <v>1302</v>
      </c>
      <c r="E729" s="8">
        <v>1.6923376876584129</v>
      </c>
      <c r="F729" s="7">
        <v>0.59089861751152073</v>
      </c>
      <c r="G729">
        <v>2023</v>
      </c>
    </row>
    <row r="730" spans="1:7" x14ac:dyDescent="0.25">
      <c r="A730" t="s">
        <v>11</v>
      </c>
      <c r="B730" s="3">
        <v>45047</v>
      </c>
      <c r="C730" s="9">
        <v>765.13</v>
      </c>
      <c r="D730">
        <v>1320</v>
      </c>
      <c r="E730" s="8">
        <v>1.7251970253420987</v>
      </c>
      <c r="F730" s="7">
        <v>0.57964393939393943</v>
      </c>
      <c r="G730">
        <v>2023</v>
      </c>
    </row>
    <row r="731" spans="1:7" x14ac:dyDescent="0.25">
      <c r="A731" t="s">
        <v>11</v>
      </c>
      <c r="B731" s="3">
        <v>45078</v>
      </c>
      <c r="C731" s="9">
        <v>771.54</v>
      </c>
      <c r="D731">
        <v>1320</v>
      </c>
      <c r="E731" s="8">
        <v>1.7108639863130881</v>
      </c>
      <c r="F731" s="7">
        <v>0.58450000000000002</v>
      </c>
      <c r="G731">
        <v>2023</v>
      </c>
    </row>
    <row r="732" spans="1:7" x14ac:dyDescent="0.25">
      <c r="A732" t="s">
        <v>11</v>
      </c>
      <c r="B732" s="3">
        <v>45108</v>
      </c>
      <c r="C732" s="9">
        <v>746.66</v>
      </c>
      <c r="D732">
        <v>1320</v>
      </c>
      <c r="E732" s="8">
        <v>1.7678729274368521</v>
      </c>
      <c r="F732" s="7">
        <v>0.56565151515151513</v>
      </c>
      <c r="G732">
        <v>2023</v>
      </c>
    </row>
    <row r="733" spans="1:7" x14ac:dyDescent="0.25">
      <c r="A733" t="s">
        <v>11</v>
      </c>
      <c r="B733" s="3">
        <v>45139</v>
      </c>
      <c r="C733" s="9">
        <v>743.94</v>
      </c>
      <c r="D733">
        <v>1320</v>
      </c>
      <c r="E733" s="8">
        <v>1.774336640051617</v>
      </c>
      <c r="F733" s="7">
        <v>0.56359090909090914</v>
      </c>
      <c r="G733">
        <v>2023</v>
      </c>
    </row>
    <row r="734" spans="1:7" x14ac:dyDescent="0.25">
      <c r="A734" t="s">
        <v>11</v>
      </c>
      <c r="B734" s="3">
        <v>45170</v>
      </c>
      <c r="C734" s="9">
        <v>747.64</v>
      </c>
      <c r="D734">
        <v>1320</v>
      </c>
      <c r="E734" s="8">
        <v>1.7655556150018725</v>
      </c>
      <c r="F734" s="7">
        <v>0.56639393939393934</v>
      </c>
      <c r="G734">
        <v>2023</v>
      </c>
    </row>
    <row r="735" spans="1:7" x14ac:dyDescent="0.25">
      <c r="A735" t="s">
        <v>11</v>
      </c>
      <c r="B735" s="3">
        <v>45200</v>
      </c>
      <c r="C735" s="9">
        <v>738.77</v>
      </c>
      <c r="D735">
        <v>1320</v>
      </c>
      <c r="E735" s="8">
        <v>1.7867536581073948</v>
      </c>
      <c r="F735" s="7">
        <v>0.55967424242424246</v>
      </c>
      <c r="G735">
        <v>2023</v>
      </c>
    </row>
    <row r="736" spans="1:7" x14ac:dyDescent="0.25">
      <c r="A736" t="s">
        <v>11</v>
      </c>
      <c r="B736" s="3">
        <v>45231</v>
      </c>
      <c r="C736" s="9">
        <v>747.59</v>
      </c>
      <c r="D736">
        <v>1320</v>
      </c>
      <c r="E736" s="8">
        <v>1.7656736981500554</v>
      </c>
      <c r="F736" s="7">
        <v>0.56635606060606059</v>
      </c>
      <c r="G736">
        <v>2023</v>
      </c>
    </row>
    <row r="737" spans="1:7" x14ac:dyDescent="0.25">
      <c r="A737" t="s">
        <v>11</v>
      </c>
      <c r="B737" s="3">
        <v>45261</v>
      </c>
      <c r="C737" s="9">
        <v>758.5</v>
      </c>
      <c r="D737">
        <v>1320</v>
      </c>
      <c r="E737" s="8">
        <v>1.7402768622280818</v>
      </c>
      <c r="F737" s="7">
        <v>0.57462121212121209</v>
      </c>
      <c r="G737">
        <v>2023</v>
      </c>
    </row>
    <row r="738" spans="1:7" x14ac:dyDescent="0.25">
      <c r="A738" t="s">
        <v>11</v>
      </c>
      <c r="B738" s="3">
        <v>45292</v>
      </c>
      <c r="C738" s="9">
        <v>800.31</v>
      </c>
      <c r="D738">
        <v>1412</v>
      </c>
      <c r="E738" s="8">
        <v>1.7643163274231237</v>
      </c>
      <c r="F738" s="7">
        <v>0.56679178470254954</v>
      </c>
      <c r="G738">
        <v>2024</v>
      </c>
    </row>
    <row r="739" spans="1:7" x14ac:dyDescent="0.25">
      <c r="A739" t="s">
        <v>11</v>
      </c>
      <c r="B739" s="3">
        <v>45323</v>
      </c>
      <c r="C739" s="9">
        <v>783.36</v>
      </c>
      <c r="D739">
        <v>1412</v>
      </c>
      <c r="E739" s="8">
        <v>1.8024918300653594</v>
      </c>
      <c r="F739" s="7">
        <v>0.55478753541076486</v>
      </c>
      <c r="G739">
        <v>2024</v>
      </c>
    </row>
    <row r="740" spans="1:7" x14ac:dyDescent="0.25">
      <c r="A740" t="s">
        <v>11</v>
      </c>
      <c r="B740" s="3">
        <v>45352</v>
      </c>
      <c r="C740" s="9">
        <v>791.21</v>
      </c>
      <c r="D740">
        <v>1412</v>
      </c>
      <c r="E740" s="8">
        <v>1.784608384626079</v>
      </c>
      <c r="F740" s="7">
        <v>0.56034702549575077</v>
      </c>
      <c r="G740">
        <v>2024</v>
      </c>
    </row>
    <row r="741" spans="1:7" x14ac:dyDescent="0.25">
      <c r="A741" t="s">
        <v>11</v>
      </c>
      <c r="B741" s="3">
        <v>45383</v>
      </c>
      <c r="C741" s="9">
        <v>781.53</v>
      </c>
      <c r="D741">
        <v>1412</v>
      </c>
      <c r="E741" s="8">
        <v>1.8067124742492291</v>
      </c>
      <c r="F741" s="7">
        <v>0.55349150141643055</v>
      </c>
      <c r="G741">
        <v>2024</v>
      </c>
    </row>
    <row r="742" spans="1:7" x14ac:dyDescent="0.25">
      <c r="A742" t="s">
        <v>11</v>
      </c>
      <c r="B742" s="3">
        <v>45413</v>
      </c>
      <c r="C742" s="9">
        <v>801.03</v>
      </c>
      <c r="D742">
        <v>1412</v>
      </c>
      <c r="E742" s="8">
        <v>1.7627304845012048</v>
      </c>
      <c r="F742" s="7">
        <v>0.56730169971671385</v>
      </c>
      <c r="G742">
        <v>2024</v>
      </c>
    </row>
    <row r="743" spans="1:7" x14ac:dyDescent="0.25">
      <c r="A743" t="s">
        <v>11</v>
      </c>
      <c r="B743" s="3">
        <v>45444</v>
      </c>
      <c r="C743" s="9">
        <v>816.06</v>
      </c>
      <c r="D743">
        <v>1412</v>
      </c>
      <c r="E743" s="8">
        <v>1.7302649315001348</v>
      </c>
      <c r="F743" s="7">
        <v>0.5779461756373937</v>
      </c>
      <c r="G743">
        <v>2024</v>
      </c>
    </row>
    <row r="744" spans="1:7" x14ac:dyDescent="0.25">
      <c r="A744" t="s">
        <v>11</v>
      </c>
      <c r="B744" s="3">
        <v>45474</v>
      </c>
      <c r="C744" s="9">
        <v>782.73</v>
      </c>
      <c r="D744">
        <v>1412</v>
      </c>
      <c r="E744" s="8">
        <v>1.803942611117499</v>
      </c>
      <c r="F744" s="7">
        <v>0.55434135977337107</v>
      </c>
      <c r="G744">
        <v>2024</v>
      </c>
    </row>
    <row r="745" spans="1:7" x14ac:dyDescent="0.25">
      <c r="A745" t="s">
        <v>11</v>
      </c>
      <c r="B745" s="3">
        <v>45505</v>
      </c>
      <c r="C745" s="9">
        <v>756.31</v>
      </c>
      <c r="D745">
        <v>1412</v>
      </c>
      <c r="E745" s="8">
        <v>1.8669593156245456</v>
      </c>
      <c r="F745" s="7">
        <v>0.53563031161473085</v>
      </c>
      <c r="G745">
        <v>2024</v>
      </c>
    </row>
    <row r="746" spans="1:7" x14ac:dyDescent="0.25">
      <c r="A746" t="s">
        <v>11</v>
      </c>
      <c r="B746" s="3">
        <v>45536</v>
      </c>
      <c r="C746" s="9">
        <v>768.33</v>
      </c>
      <c r="D746">
        <v>1412</v>
      </c>
      <c r="E746" s="8">
        <v>1.8377520076009006</v>
      </c>
      <c r="F746" s="7">
        <v>0.54414305949008501</v>
      </c>
      <c r="G746">
        <v>2024</v>
      </c>
    </row>
    <row r="747" spans="1:7" x14ac:dyDescent="0.25">
      <c r="A747" t="s">
        <v>11</v>
      </c>
      <c r="B747" s="3">
        <v>45566</v>
      </c>
      <c r="C747" s="9">
        <v>796.94</v>
      </c>
      <c r="D747">
        <v>1412</v>
      </c>
      <c r="E747" s="8">
        <v>1.7717770472055612</v>
      </c>
      <c r="F747" s="7">
        <v>0.5644050991501417</v>
      </c>
      <c r="G747">
        <v>2024</v>
      </c>
    </row>
    <row r="748" spans="1:7" x14ac:dyDescent="0.25">
      <c r="A748" t="s">
        <v>11</v>
      </c>
      <c r="B748" s="3">
        <v>45597</v>
      </c>
      <c r="C748" s="9">
        <v>799.62</v>
      </c>
      <c r="D748">
        <v>1412</v>
      </c>
      <c r="E748" s="8">
        <v>1.7658387734173733</v>
      </c>
      <c r="F748" s="7">
        <v>0.56630311614730877</v>
      </c>
      <c r="G748">
        <v>2024</v>
      </c>
    </row>
    <row r="749" spans="1:7" x14ac:dyDescent="0.25">
      <c r="A749" t="s">
        <v>11</v>
      </c>
      <c r="B749" s="3">
        <v>45627</v>
      </c>
      <c r="C749" s="9">
        <v>809.46</v>
      </c>
      <c r="D749">
        <v>1412</v>
      </c>
      <c r="E749" s="8">
        <v>1.7443727917377017</v>
      </c>
      <c r="F749" s="7">
        <v>0.57327195467422098</v>
      </c>
      <c r="G749">
        <v>2024</v>
      </c>
    </row>
    <row r="750" spans="1:7" x14ac:dyDescent="0.25">
      <c r="A750" t="s">
        <v>11</v>
      </c>
      <c r="B750" s="3">
        <v>45658</v>
      </c>
      <c r="C750" s="9">
        <v>808.75</v>
      </c>
      <c r="D750">
        <v>1518</v>
      </c>
      <c r="E750" s="8">
        <v>1.8769706336939722</v>
      </c>
      <c r="F750" s="7">
        <v>0.53277338603425561</v>
      </c>
      <c r="G750">
        <v>2025</v>
      </c>
    </row>
    <row r="751" spans="1:7" x14ac:dyDescent="0.25">
      <c r="A751" t="s">
        <v>11</v>
      </c>
      <c r="B751" s="3">
        <v>45689</v>
      </c>
      <c r="C751" s="9">
        <v>807.71</v>
      </c>
      <c r="D751">
        <v>1518</v>
      </c>
      <c r="E751" s="8">
        <v>1.8793874038949623</v>
      </c>
      <c r="F751" s="7">
        <v>0.53208827404479586</v>
      </c>
      <c r="G751">
        <v>2025</v>
      </c>
    </row>
    <row r="752" spans="1:7" x14ac:dyDescent="0.25">
      <c r="A752" t="s">
        <v>11</v>
      </c>
      <c r="B752" s="3">
        <v>45717</v>
      </c>
      <c r="C752" s="9">
        <v>831.92</v>
      </c>
      <c r="D752">
        <v>1518</v>
      </c>
      <c r="E752" s="8">
        <v>1.8246946821809791</v>
      </c>
      <c r="F752" s="7">
        <v>0.54803689064558625</v>
      </c>
      <c r="G752">
        <v>2025</v>
      </c>
    </row>
    <row r="753" spans="1:7" x14ac:dyDescent="0.25">
      <c r="A753" t="s">
        <v>11</v>
      </c>
      <c r="B753" s="3">
        <v>45748</v>
      </c>
      <c r="C753" s="9">
        <v>858.2</v>
      </c>
      <c r="D753">
        <v>1518</v>
      </c>
      <c r="E753" s="8">
        <v>1.7688184572360754</v>
      </c>
      <c r="F753" s="7">
        <v>0.56534914361001321</v>
      </c>
      <c r="G753">
        <v>2025</v>
      </c>
    </row>
    <row r="754" spans="1:7" x14ac:dyDescent="0.25">
      <c r="A754" t="s">
        <v>11</v>
      </c>
      <c r="B754" s="3">
        <v>45778</v>
      </c>
      <c r="C754" s="9">
        <v>858.93</v>
      </c>
      <c r="D754">
        <v>1518</v>
      </c>
      <c r="E754" s="8">
        <v>1.7673151479165941</v>
      </c>
      <c r="F754" s="7">
        <v>0.56583003952569166</v>
      </c>
      <c r="G754">
        <v>2025</v>
      </c>
    </row>
    <row r="755" spans="1:7" x14ac:dyDescent="0.25">
      <c r="A755" t="s">
        <v>11</v>
      </c>
      <c r="B755" s="3">
        <v>45809</v>
      </c>
      <c r="C755" s="9">
        <v>867.83</v>
      </c>
      <c r="D755">
        <v>1518</v>
      </c>
      <c r="E755" s="8">
        <v>1.7491905096620306</v>
      </c>
      <c r="F755" s="7">
        <v>0.57169301712779974</v>
      </c>
      <c r="G755">
        <v>2025</v>
      </c>
    </row>
    <row r="756" spans="1:7" x14ac:dyDescent="0.25">
      <c r="A756" t="s">
        <v>12</v>
      </c>
      <c r="B756" s="3">
        <v>42005</v>
      </c>
      <c r="C756" s="9">
        <v>288.99</v>
      </c>
      <c r="D756">
        <v>788</v>
      </c>
      <c r="E756" s="8">
        <v>2.7267379494100141</v>
      </c>
      <c r="F756" s="7">
        <v>0.36673857868020304</v>
      </c>
      <c r="G756">
        <v>2015</v>
      </c>
    </row>
    <row r="757" spans="1:7" x14ac:dyDescent="0.25">
      <c r="A757" t="s">
        <v>12</v>
      </c>
      <c r="B757" s="3">
        <v>42036</v>
      </c>
      <c r="C757" s="9">
        <v>292.23</v>
      </c>
      <c r="D757">
        <v>788</v>
      </c>
      <c r="E757" s="8">
        <v>2.696506176641686</v>
      </c>
      <c r="F757" s="7">
        <v>0.37085025380710662</v>
      </c>
      <c r="G757">
        <v>2015</v>
      </c>
    </row>
    <row r="758" spans="1:7" x14ac:dyDescent="0.25">
      <c r="A758" t="s">
        <v>12</v>
      </c>
      <c r="B758" s="3">
        <v>42064</v>
      </c>
      <c r="C758" s="9">
        <v>304.58999999999997</v>
      </c>
      <c r="D758">
        <v>788</v>
      </c>
      <c r="E758" s="8">
        <v>2.5870842772251224</v>
      </c>
      <c r="F758" s="7">
        <v>0.38653553299492383</v>
      </c>
      <c r="G758">
        <v>2015</v>
      </c>
    </row>
    <row r="759" spans="1:7" x14ac:dyDescent="0.25">
      <c r="A759" t="s">
        <v>12</v>
      </c>
      <c r="B759" s="3">
        <v>42095</v>
      </c>
      <c r="C759" s="9">
        <v>316.2</v>
      </c>
      <c r="D759">
        <v>788</v>
      </c>
      <c r="E759" s="8">
        <v>2.4920936116382038</v>
      </c>
      <c r="F759" s="7">
        <v>0.40126903553299492</v>
      </c>
      <c r="G759">
        <v>2015</v>
      </c>
    </row>
    <row r="760" spans="1:7" x14ac:dyDescent="0.25">
      <c r="A760" t="s">
        <v>12</v>
      </c>
      <c r="B760" s="3">
        <v>42125</v>
      </c>
      <c r="C760" s="9">
        <v>344.3</v>
      </c>
      <c r="D760">
        <v>788</v>
      </c>
      <c r="E760" s="8">
        <v>2.2887017136218413</v>
      </c>
      <c r="F760" s="7">
        <v>0.43692893401015231</v>
      </c>
      <c r="G760">
        <v>2015</v>
      </c>
    </row>
    <row r="761" spans="1:7" x14ac:dyDescent="0.25">
      <c r="A761" t="s">
        <v>12</v>
      </c>
      <c r="B761" s="3">
        <v>42156</v>
      </c>
      <c r="C761" s="9">
        <v>325.39999999999998</v>
      </c>
      <c r="D761">
        <v>788</v>
      </c>
      <c r="E761" s="8">
        <v>2.4216349108789186</v>
      </c>
      <c r="F761" s="7">
        <v>0.41294416243654819</v>
      </c>
      <c r="G761">
        <v>2015</v>
      </c>
    </row>
    <row r="762" spans="1:7" x14ac:dyDescent="0.25">
      <c r="A762" t="s">
        <v>12</v>
      </c>
      <c r="B762" s="3">
        <v>42186</v>
      </c>
      <c r="C762" s="9">
        <v>332.82</v>
      </c>
      <c r="D762">
        <v>788</v>
      </c>
      <c r="E762" s="8">
        <v>2.3676461751096691</v>
      </c>
      <c r="F762" s="7">
        <v>0.42236040609137054</v>
      </c>
      <c r="G762">
        <v>2015</v>
      </c>
    </row>
    <row r="763" spans="1:7" x14ac:dyDescent="0.25">
      <c r="A763" t="s">
        <v>12</v>
      </c>
      <c r="B763" s="3">
        <v>42217</v>
      </c>
      <c r="C763" s="9">
        <v>317.52</v>
      </c>
      <c r="D763">
        <v>788</v>
      </c>
      <c r="E763" s="8">
        <v>2.4817334341143868</v>
      </c>
      <c r="F763" s="7">
        <v>0.40294416243654818</v>
      </c>
      <c r="G763">
        <v>2015</v>
      </c>
    </row>
    <row r="764" spans="1:7" x14ac:dyDescent="0.25">
      <c r="A764" t="s">
        <v>12</v>
      </c>
      <c r="B764" s="3">
        <v>42248</v>
      </c>
      <c r="C764" s="9">
        <v>305.2</v>
      </c>
      <c r="D764">
        <v>788</v>
      </c>
      <c r="E764" s="8">
        <v>2.5819134993446919</v>
      </c>
      <c r="F764" s="7">
        <v>0.38730964467005075</v>
      </c>
      <c r="G764">
        <v>2015</v>
      </c>
    </row>
    <row r="765" spans="1:7" x14ac:dyDescent="0.25">
      <c r="A765" t="s">
        <v>12</v>
      </c>
      <c r="B765" s="3">
        <v>42278</v>
      </c>
      <c r="C765" s="9">
        <v>306.23</v>
      </c>
      <c r="D765">
        <v>788</v>
      </c>
      <c r="E765" s="8">
        <v>2.5732292721157299</v>
      </c>
      <c r="F765" s="7">
        <v>0.38861675126903555</v>
      </c>
      <c r="G765">
        <v>2015</v>
      </c>
    </row>
    <row r="766" spans="1:7" x14ac:dyDescent="0.25">
      <c r="A766" t="s">
        <v>12</v>
      </c>
      <c r="B766" s="3">
        <v>42309</v>
      </c>
      <c r="C766" s="9">
        <v>317.86</v>
      </c>
      <c r="D766">
        <v>788</v>
      </c>
      <c r="E766" s="8">
        <v>2.4790788397407661</v>
      </c>
      <c r="F766" s="7">
        <v>0.40337563451776653</v>
      </c>
      <c r="G766">
        <v>2015</v>
      </c>
    </row>
    <row r="767" spans="1:7" x14ac:dyDescent="0.25">
      <c r="A767" t="s">
        <v>12</v>
      </c>
      <c r="B767" s="3">
        <v>42339</v>
      </c>
      <c r="C767" s="9">
        <v>335.59</v>
      </c>
      <c r="D767">
        <v>788</v>
      </c>
      <c r="E767" s="8">
        <v>2.3481033403855895</v>
      </c>
      <c r="F767" s="7">
        <v>0.42587563451776644</v>
      </c>
      <c r="G767">
        <v>2015</v>
      </c>
    </row>
    <row r="768" spans="1:7" x14ac:dyDescent="0.25">
      <c r="A768" t="s">
        <v>12</v>
      </c>
      <c r="B768" s="3">
        <v>42370</v>
      </c>
      <c r="C768" s="9">
        <v>368.64</v>
      </c>
      <c r="D768">
        <v>880</v>
      </c>
      <c r="E768" s="8">
        <v>2.3871527777777777</v>
      </c>
      <c r="F768" s="7">
        <v>0.4189090909090909</v>
      </c>
      <c r="G768">
        <v>2016</v>
      </c>
    </row>
    <row r="769" spans="1:7" x14ac:dyDescent="0.25">
      <c r="A769" t="s">
        <v>12</v>
      </c>
      <c r="B769" s="3">
        <v>42401</v>
      </c>
      <c r="C769" s="9">
        <v>387.63</v>
      </c>
      <c r="D769">
        <v>880</v>
      </c>
      <c r="E769" s="8">
        <v>2.2702061243969767</v>
      </c>
      <c r="F769" s="7">
        <v>0.44048863636363633</v>
      </c>
      <c r="G769">
        <v>2016</v>
      </c>
    </row>
    <row r="770" spans="1:7" x14ac:dyDescent="0.25">
      <c r="A770" t="s">
        <v>12</v>
      </c>
      <c r="B770" s="3">
        <v>42430</v>
      </c>
      <c r="C770" s="9">
        <v>386.3</v>
      </c>
      <c r="D770">
        <v>880</v>
      </c>
      <c r="E770" s="8">
        <v>2.2780222624902926</v>
      </c>
      <c r="F770" s="7">
        <v>0.43897727272727272</v>
      </c>
      <c r="G770">
        <v>2016</v>
      </c>
    </row>
    <row r="771" spans="1:7" x14ac:dyDescent="0.25">
      <c r="A771" t="s">
        <v>12</v>
      </c>
      <c r="B771" s="3">
        <v>42461</v>
      </c>
      <c r="C771" s="9">
        <v>385.14</v>
      </c>
      <c r="D771">
        <v>880</v>
      </c>
      <c r="E771" s="8">
        <v>2.2848834190164617</v>
      </c>
      <c r="F771" s="7">
        <v>0.43765909090909089</v>
      </c>
      <c r="G771">
        <v>2016</v>
      </c>
    </row>
    <row r="772" spans="1:7" x14ac:dyDescent="0.25">
      <c r="A772" t="s">
        <v>12</v>
      </c>
      <c r="B772" s="3">
        <v>42491</v>
      </c>
      <c r="C772" s="9">
        <v>375.13</v>
      </c>
      <c r="D772">
        <v>880</v>
      </c>
      <c r="E772" s="8">
        <v>2.3458534374750086</v>
      </c>
      <c r="F772" s="7">
        <v>0.42628409090909092</v>
      </c>
      <c r="G772">
        <v>2016</v>
      </c>
    </row>
    <row r="773" spans="1:7" x14ac:dyDescent="0.25">
      <c r="A773" t="s">
        <v>12</v>
      </c>
      <c r="B773" s="3">
        <v>42522</v>
      </c>
      <c r="C773" s="9">
        <v>386.78</v>
      </c>
      <c r="D773">
        <v>880</v>
      </c>
      <c r="E773" s="8">
        <v>2.2751952014064845</v>
      </c>
      <c r="F773" s="7">
        <v>0.43952272727272723</v>
      </c>
      <c r="G773">
        <v>2016</v>
      </c>
    </row>
    <row r="774" spans="1:7" x14ac:dyDescent="0.25">
      <c r="A774" t="s">
        <v>12</v>
      </c>
      <c r="B774" s="3">
        <v>42552</v>
      </c>
      <c r="C774" s="9">
        <v>403.38</v>
      </c>
      <c r="D774">
        <v>880</v>
      </c>
      <c r="E774" s="8">
        <v>2.1815657692498389</v>
      </c>
      <c r="F774" s="7">
        <v>0.45838636363636365</v>
      </c>
      <c r="G774">
        <v>2016</v>
      </c>
    </row>
    <row r="775" spans="1:7" x14ac:dyDescent="0.25">
      <c r="A775" t="s">
        <v>12</v>
      </c>
      <c r="B775" s="3">
        <v>42583</v>
      </c>
      <c r="C775" s="9">
        <v>410.11</v>
      </c>
      <c r="D775">
        <v>880</v>
      </c>
      <c r="E775" s="8">
        <v>2.1457657701592256</v>
      </c>
      <c r="F775" s="7">
        <v>0.46603409090909093</v>
      </c>
      <c r="G775">
        <v>2016</v>
      </c>
    </row>
    <row r="776" spans="1:7" x14ac:dyDescent="0.25">
      <c r="A776" t="s">
        <v>12</v>
      </c>
      <c r="B776" s="3">
        <v>42614</v>
      </c>
      <c r="C776" s="9">
        <v>415.94</v>
      </c>
      <c r="D776">
        <v>880</v>
      </c>
      <c r="E776" s="8">
        <v>2.115689762946579</v>
      </c>
      <c r="F776" s="7">
        <v>0.47265909090909092</v>
      </c>
      <c r="G776">
        <v>2016</v>
      </c>
    </row>
    <row r="777" spans="1:7" x14ac:dyDescent="0.25">
      <c r="A777" t="s">
        <v>12</v>
      </c>
      <c r="B777" s="3">
        <v>42644</v>
      </c>
      <c r="C777" s="9">
        <v>415.41</v>
      </c>
      <c r="D777">
        <v>880</v>
      </c>
      <c r="E777" s="8">
        <v>2.1183890614092102</v>
      </c>
      <c r="F777" s="7">
        <v>0.47205681818181822</v>
      </c>
      <c r="G777">
        <v>2016</v>
      </c>
    </row>
    <row r="778" spans="1:7" x14ac:dyDescent="0.25">
      <c r="A778" t="s">
        <v>12</v>
      </c>
      <c r="B778" s="3">
        <v>42675</v>
      </c>
      <c r="C778" s="9">
        <v>406.52</v>
      </c>
      <c r="D778">
        <v>880</v>
      </c>
      <c r="E778" s="8">
        <v>2.1647151431663878</v>
      </c>
      <c r="F778" s="7">
        <v>0.46195454545454545</v>
      </c>
      <c r="G778">
        <v>2016</v>
      </c>
    </row>
    <row r="779" spans="1:7" x14ac:dyDescent="0.25">
      <c r="A779" t="s">
        <v>12</v>
      </c>
      <c r="B779" s="3">
        <v>42705</v>
      </c>
      <c r="C779" s="9">
        <v>394.19</v>
      </c>
      <c r="D779">
        <v>880</v>
      </c>
      <c r="E779" s="8">
        <v>2.2324259874679724</v>
      </c>
      <c r="F779" s="7">
        <v>0.44794318181818182</v>
      </c>
      <c r="G779">
        <v>2016</v>
      </c>
    </row>
    <row r="780" spans="1:7" x14ac:dyDescent="0.25">
      <c r="A780" t="s">
        <v>12</v>
      </c>
      <c r="B780" s="3">
        <v>42736</v>
      </c>
      <c r="C780" s="9">
        <v>412.48</v>
      </c>
      <c r="D780">
        <v>937</v>
      </c>
      <c r="E780" s="8">
        <v>2.271625290923196</v>
      </c>
      <c r="F780" s="7">
        <v>0.44021344717182498</v>
      </c>
      <c r="G780">
        <v>2017</v>
      </c>
    </row>
    <row r="781" spans="1:7" x14ac:dyDescent="0.25">
      <c r="A781" t="s">
        <v>12</v>
      </c>
      <c r="B781" s="3">
        <v>42767</v>
      </c>
      <c r="C781" s="9">
        <v>401.91</v>
      </c>
      <c r="D781">
        <v>937</v>
      </c>
      <c r="E781" s="8">
        <v>2.3313677191411011</v>
      </c>
      <c r="F781" s="7">
        <v>0.42893276414087517</v>
      </c>
      <c r="G781">
        <v>2017</v>
      </c>
    </row>
    <row r="782" spans="1:7" x14ac:dyDescent="0.25">
      <c r="A782" t="s">
        <v>12</v>
      </c>
      <c r="B782" s="3">
        <v>42795</v>
      </c>
      <c r="C782" s="9">
        <v>408.83</v>
      </c>
      <c r="D782">
        <v>937</v>
      </c>
      <c r="E782" s="8">
        <v>2.2919061712692317</v>
      </c>
      <c r="F782" s="7">
        <v>0.43631803628601917</v>
      </c>
      <c r="G782">
        <v>2017</v>
      </c>
    </row>
    <row r="783" spans="1:7" x14ac:dyDescent="0.25">
      <c r="A783" t="s">
        <v>12</v>
      </c>
      <c r="B783" s="3">
        <v>42826</v>
      </c>
      <c r="C783" s="9">
        <v>423.08</v>
      </c>
      <c r="D783">
        <v>937</v>
      </c>
      <c r="E783" s="8">
        <v>2.2147111657369765</v>
      </c>
      <c r="F783" s="7">
        <v>0.45152614727854856</v>
      </c>
      <c r="G783">
        <v>2017</v>
      </c>
    </row>
    <row r="784" spans="1:7" x14ac:dyDescent="0.25">
      <c r="A784" t="s">
        <v>12</v>
      </c>
      <c r="B784" s="3">
        <v>42856</v>
      </c>
      <c r="C784" s="9">
        <v>404.5</v>
      </c>
      <c r="D784">
        <v>937</v>
      </c>
      <c r="E784" s="8">
        <v>2.3164400494437576</v>
      </c>
      <c r="F784" s="7">
        <v>0.43169690501600855</v>
      </c>
      <c r="G784">
        <v>2017</v>
      </c>
    </row>
    <row r="785" spans="1:7" x14ac:dyDescent="0.25">
      <c r="A785" t="s">
        <v>12</v>
      </c>
      <c r="B785" s="3">
        <v>42887</v>
      </c>
      <c r="C785" s="9">
        <v>408.49</v>
      </c>
      <c r="D785">
        <v>937</v>
      </c>
      <c r="E785" s="8">
        <v>2.2938138020514578</v>
      </c>
      <c r="F785" s="7">
        <v>0.43595517609391676</v>
      </c>
      <c r="G785">
        <v>2017</v>
      </c>
    </row>
    <row r="786" spans="1:7" x14ac:dyDescent="0.25">
      <c r="A786" t="s">
        <v>12</v>
      </c>
      <c r="B786" s="3">
        <v>42917</v>
      </c>
      <c r="C786" s="9">
        <v>400.67</v>
      </c>
      <c r="D786">
        <v>937</v>
      </c>
      <c r="E786" s="8">
        <v>2.3385828736865748</v>
      </c>
      <c r="F786" s="7">
        <v>0.42760939167556034</v>
      </c>
      <c r="G786">
        <v>2017</v>
      </c>
    </row>
    <row r="787" spans="1:7" x14ac:dyDescent="0.25">
      <c r="A787" t="s">
        <v>12</v>
      </c>
      <c r="B787" s="3">
        <v>42948</v>
      </c>
      <c r="C787" s="9">
        <v>389.35</v>
      </c>
      <c r="D787">
        <v>937</v>
      </c>
      <c r="E787" s="8">
        <v>2.406575060999101</v>
      </c>
      <c r="F787" s="7">
        <v>0.41552828175026685</v>
      </c>
      <c r="G787">
        <v>2017</v>
      </c>
    </row>
    <row r="788" spans="1:7" x14ac:dyDescent="0.25">
      <c r="A788" t="s">
        <v>12</v>
      </c>
      <c r="B788" s="3">
        <v>42979</v>
      </c>
      <c r="C788" s="9">
        <v>370.46</v>
      </c>
      <c r="D788">
        <v>937</v>
      </c>
      <c r="E788" s="8">
        <v>2.5292879123252177</v>
      </c>
      <c r="F788" s="7">
        <v>0.39536819637139808</v>
      </c>
      <c r="G788">
        <v>2017</v>
      </c>
    </row>
    <row r="789" spans="1:7" x14ac:dyDescent="0.25">
      <c r="A789" t="s">
        <v>12</v>
      </c>
      <c r="B789" s="3">
        <v>43009</v>
      </c>
      <c r="C789" s="9">
        <v>367.61</v>
      </c>
      <c r="D789">
        <v>937</v>
      </c>
      <c r="E789" s="8">
        <v>2.5488969288104242</v>
      </c>
      <c r="F789" s="7">
        <v>0.39232657417289224</v>
      </c>
      <c r="G789">
        <v>2017</v>
      </c>
    </row>
    <row r="790" spans="1:7" x14ac:dyDescent="0.25">
      <c r="A790" t="s">
        <v>12</v>
      </c>
      <c r="B790" s="3">
        <v>43040</v>
      </c>
      <c r="C790" s="9">
        <v>363.92</v>
      </c>
      <c r="D790">
        <v>937</v>
      </c>
      <c r="E790" s="8">
        <v>2.5747417014728509</v>
      </c>
      <c r="F790" s="7">
        <v>0.38838847385272146</v>
      </c>
      <c r="G790">
        <v>2017</v>
      </c>
    </row>
    <row r="791" spans="1:7" x14ac:dyDescent="0.25">
      <c r="A791" t="s">
        <v>12</v>
      </c>
      <c r="B791" s="3">
        <v>43070</v>
      </c>
      <c r="C791" s="9">
        <v>367.45</v>
      </c>
      <c r="D791">
        <v>937</v>
      </c>
      <c r="E791" s="8">
        <v>2.5500068036467547</v>
      </c>
      <c r="F791" s="7">
        <v>0.39215581643543224</v>
      </c>
      <c r="G791">
        <v>2017</v>
      </c>
    </row>
    <row r="792" spans="1:7" x14ac:dyDescent="0.25">
      <c r="A792" t="s">
        <v>12</v>
      </c>
      <c r="B792" s="3">
        <v>43101</v>
      </c>
      <c r="C792" s="9">
        <v>387.61</v>
      </c>
      <c r="D792">
        <v>954</v>
      </c>
      <c r="E792" s="8">
        <v>2.4612368101958153</v>
      </c>
      <c r="F792" s="7">
        <v>0.40629979035639413</v>
      </c>
      <c r="G792">
        <v>2018</v>
      </c>
    </row>
    <row r="793" spans="1:7" x14ac:dyDescent="0.25">
      <c r="A793" t="s">
        <v>12</v>
      </c>
      <c r="B793" s="3">
        <v>43132</v>
      </c>
      <c r="C793" s="9">
        <v>395.47</v>
      </c>
      <c r="D793">
        <v>954</v>
      </c>
      <c r="E793" s="8">
        <v>2.4123195185475508</v>
      </c>
      <c r="F793" s="7">
        <v>0.414538784067086</v>
      </c>
      <c r="G793">
        <v>2018</v>
      </c>
    </row>
    <row r="794" spans="1:7" x14ac:dyDescent="0.25">
      <c r="A794" t="s">
        <v>12</v>
      </c>
      <c r="B794" s="3">
        <v>43160</v>
      </c>
      <c r="C794" s="9">
        <v>389</v>
      </c>
      <c r="D794">
        <v>954</v>
      </c>
      <c r="E794" s="8">
        <v>2.4524421593830334</v>
      </c>
      <c r="F794" s="7">
        <v>0.40775681341719078</v>
      </c>
      <c r="G794">
        <v>2018</v>
      </c>
    </row>
    <row r="795" spans="1:7" x14ac:dyDescent="0.25">
      <c r="A795" t="s">
        <v>12</v>
      </c>
      <c r="B795" s="3">
        <v>43191</v>
      </c>
      <c r="C795" s="9">
        <v>378.98</v>
      </c>
      <c r="D795">
        <v>954</v>
      </c>
      <c r="E795" s="8">
        <v>2.5172832339437434</v>
      </c>
      <c r="F795" s="7">
        <v>0.39725366876310275</v>
      </c>
      <c r="G795">
        <v>2018</v>
      </c>
    </row>
    <row r="796" spans="1:7" x14ac:dyDescent="0.25">
      <c r="A796" t="s">
        <v>12</v>
      </c>
      <c r="B796" s="3">
        <v>43221</v>
      </c>
      <c r="C796" s="9">
        <v>390.79</v>
      </c>
      <c r="D796">
        <v>954</v>
      </c>
      <c r="E796" s="8">
        <v>2.4412088333887763</v>
      </c>
      <c r="F796" s="7">
        <v>0.40963312368972749</v>
      </c>
      <c r="G796">
        <v>2018</v>
      </c>
    </row>
    <row r="797" spans="1:7" x14ac:dyDescent="0.25">
      <c r="A797" t="s">
        <v>12</v>
      </c>
      <c r="B797" s="3">
        <v>43252</v>
      </c>
      <c r="C797" s="9">
        <v>392.35</v>
      </c>
      <c r="D797">
        <v>954</v>
      </c>
      <c r="E797" s="8">
        <v>2.4315024850261246</v>
      </c>
      <c r="F797" s="7">
        <v>0.41126834381551364</v>
      </c>
      <c r="G797">
        <v>2018</v>
      </c>
    </row>
    <row r="798" spans="1:7" x14ac:dyDescent="0.25">
      <c r="A798" t="s">
        <v>12</v>
      </c>
      <c r="B798" s="3">
        <v>43282</v>
      </c>
      <c r="C798" s="9">
        <v>379.26</v>
      </c>
      <c r="D798">
        <v>954</v>
      </c>
      <c r="E798" s="8">
        <v>2.5154247745609872</v>
      </c>
      <c r="F798" s="7">
        <v>0.39754716981132077</v>
      </c>
      <c r="G798">
        <v>2018</v>
      </c>
    </row>
    <row r="799" spans="1:7" x14ac:dyDescent="0.25">
      <c r="A799" t="s">
        <v>12</v>
      </c>
      <c r="B799" s="3">
        <v>43313</v>
      </c>
      <c r="C799" s="9">
        <v>372.89</v>
      </c>
      <c r="D799">
        <v>954</v>
      </c>
      <c r="E799" s="8">
        <v>2.5583952372013194</v>
      </c>
      <c r="F799" s="7">
        <v>0.39087002096436058</v>
      </c>
      <c r="G799">
        <v>2018</v>
      </c>
    </row>
    <row r="800" spans="1:7" x14ac:dyDescent="0.25">
      <c r="A800" t="s">
        <v>12</v>
      </c>
      <c r="B800" s="3">
        <v>43344</v>
      </c>
      <c r="C800" s="9">
        <v>367.14</v>
      </c>
      <c r="D800">
        <v>954</v>
      </c>
      <c r="E800" s="8">
        <v>2.5984638012747183</v>
      </c>
      <c r="F800" s="7">
        <v>0.38484276729559747</v>
      </c>
      <c r="G800">
        <v>2018</v>
      </c>
    </row>
    <row r="801" spans="1:7" x14ac:dyDescent="0.25">
      <c r="A801" t="s">
        <v>12</v>
      </c>
      <c r="B801" s="3">
        <v>43374</v>
      </c>
      <c r="C801" s="9">
        <v>393.4</v>
      </c>
      <c r="D801">
        <v>954</v>
      </c>
      <c r="E801" s="8">
        <v>2.4250127097102188</v>
      </c>
      <c r="F801" s="7">
        <v>0.41236897274633122</v>
      </c>
      <c r="G801">
        <v>2018</v>
      </c>
    </row>
    <row r="802" spans="1:7" x14ac:dyDescent="0.25">
      <c r="A802" t="s">
        <v>12</v>
      </c>
      <c r="B802" s="3">
        <v>43405</v>
      </c>
      <c r="C802" s="9">
        <v>411.66</v>
      </c>
      <c r="D802">
        <v>954</v>
      </c>
      <c r="E802" s="8">
        <v>2.3174464363795364</v>
      </c>
      <c r="F802" s="7">
        <v>0.43150943396226416</v>
      </c>
      <c r="G802">
        <v>2018</v>
      </c>
    </row>
    <row r="803" spans="1:7" x14ac:dyDescent="0.25">
      <c r="A803" t="s">
        <v>12</v>
      </c>
      <c r="B803" s="3">
        <v>43435</v>
      </c>
      <c r="C803" s="9">
        <v>397.34</v>
      </c>
      <c r="D803">
        <v>954</v>
      </c>
      <c r="E803" s="8">
        <v>2.4009664267378064</v>
      </c>
      <c r="F803" s="7">
        <v>0.41649895178197061</v>
      </c>
      <c r="G803">
        <v>2018</v>
      </c>
    </row>
    <row r="804" spans="1:7" x14ac:dyDescent="0.25">
      <c r="A804" t="s">
        <v>12</v>
      </c>
      <c r="B804" s="3">
        <v>43466</v>
      </c>
      <c r="C804" s="9">
        <v>403.99</v>
      </c>
      <c r="D804">
        <v>998</v>
      </c>
      <c r="E804" s="8">
        <v>2.4703581771826033</v>
      </c>
      <c r="F804" s="7">
        <v>0.40479959919839681</v>
      </c>
      <c r="G804">
        <v>2019</v>
      </c>
    </row>
    <row r="805" spans="1:7" x14ac:dyDescent="0.25">
      <c r="A805" t="s">
        <v>12</v>
      </c>
      <c r="B805" s="3">
        <v>43497</v>
      </c>
      <c r="C805" s="9">
        <v>416.86</v>
      </c>
      <c r="D805">
        <v>998</v>
      </c>
      <c r="E805" s="8">
        <v>2.3940891426378159</v>
      </c>
      <c r="F805" s="7">
        <v>0.41769539078156315</v>
      </c>
      <c r="G805">
        <v>2019</v>
      </c>
    </row>
    <row r="806" spans="1:7" x14ac:dyDescent="0.25">
      <c r="A806" t="s">
        <v>12</v>
      </c>
      <c r="B806" s="3">
        <v>43525</v>
      </c>
      <c r="C806" s="9">
        <v>445.12</v>
      </c>
      <c r="D806">
        <v>998</v>
      </c>
      <c r="E806" s="8">
        <v>2.2420920201294035</v>
      </c>
      <c r="F806" s="7">
        <v>0.4460120240480962</v>
      </c>
      <c r="G806">
        <v>2019</v>
      </c>
    </row>
    <row r="807" spans="1:7" x14ac:dyDescent="0.25">
      <c r="A807" t="s">
        <v>12</v>
      </c>
      <c r="B807" s="3">
        <v>43556</v>
      </c>
      <c r="C807" s="9">
        <v>459.2</v>
      </c>
      <c r="D807">
        <v>998</v>
      </c>
      <c r="E807" s="8">
        <v>2.1733449477351918</v>
      </c>
      <c r="F807" s="7">
        <v>0.4601202404809619</v>
      </c>
      <c r="G807">
        <v>2019</v>
      </c>
    </row>
    <row r="808" spans="1:7" x14ac:dyDescent="0.25">
      <c r="A808" t="s">
        <v>12</v>
      </c>
      <c r="B808" s="3">
        <v>43586</v>
      </c>
      <c r="C808" s="9">
        <v>444.44</v>
      </c>
      <c r="D808">
        <v>998</v>
      </c>
      <c r="E808" s="8">
        <v>2.2455224552245521</v>
      </c>
      <c r="F808" s="7">
        <v>0.44533066132264532</v>
      </c>
      <c r="G808">
        <v>2019</v>
      </c>
    </row>
    <row r="809" spans="1:7" x14ac:dyDescent="0.25">
      <c r="A809" t="s">
        <v>12</v>
      </c>
      <c r="B809" s="3">
        <v>43617</v>
      </c>
      <c r="C809" s="9">
        <v>448.73</v>
      </c>
      <c r="D809">
        <v>998</v>
      </c>
      <c r="E809" s="8">
        <v>2.2240545539634078</v>
      </c>
      <c r="F809" s="7">
        <v>0.44962925851703411</v>
      </c>
      <c r="G809">
        <v>2019</v>
      </c>
    </row>
    <row r="810" spans="1:7" x14ac:dyDescent="0.25">
      <c r="A810" t="s">
        <v>12</v>
      </c>
      <c r="B810" s="3">
        <v>43647</v>
      </c>
      <c r="C810" s="9">
        <v>432.96</v>
      </c>
      <c r="D810">
        <v>998</v>
      </c>
      <c r="E810" s="8">
        <v>2.3050628233555064</v>
      </c>
      <c r="F810" s="7">
        <v>0.43382765531062123</v>
      </c>
      <c r="G810">
        <v>2019</v>
      </c>
    </row>
    <row r="811" spans="1:7" x14ac:dyDescent="0.25">
      <c r="A811" t="s">
        <v>12</v>
      </c>
      <c r="B811" s="3">
        <v>43678</v>
      </c>
      <c r="C811" s="9">
        <v>402.84</v>
      </c>
      <c r="D811">
        <v>998</v>
      </c>
      <c r="E811" s="8">
        <v>2.4774103862575716</v>
      </c>
      <c r="F811" s="7">
        <v>0.40364729458917831</v>
      </c>
      <c r="G811">
        <v>2019</v>
      </c>
    </row>
    <row r="812" spans="1:7" x14ac:dyDescent="0.25">
      <c r="A812" t="s">
        <v>12</v>
      </c>
      <c r="B812" s="3">
        <v>43709</v>
      </c>
      <c r="C812" s="9">
        <v>384.17</v>
      </c>
      <c r="D812">
        <v>998</v>
      </c>
      <c r="E812" s="8">
        <v>2.5978082619673581</v>
      </c>
      <c r="F812" s="7">
        <v>0.38493987975951904</v>
      </c>
      <c r="G812">
        <v>2019</v>
      </c>
    </row>
    <row r="813" spans="1:7" x14ac:dyDescent="0.25">
      <c r="A813" t="s">
        <v>12</v>
      </c>
      <c r="B813" s="3">
        <v>43739</v>
      </c>
      <c r="C813" s="9">
        <v>387.18</v>
      </c>
      <c r="D813">
        <v>998</v>
      </c>
      <c r="E813" s="8">
        <v>2.5776124799834701</v>
      </c>
      <c r="F813" s="7">
        <v>0.3879559118236473</v>
      </c>
      <c r="G813">
        <v>2019</v>
      </c>
    </row>
    <row r="814" spans="1:7" x14ac:dyDescent="0.25">
      <c r="A814" t="s">
        <v>12</v>
      </c>
      <c r="B814" s="3">
        <v>43770</v>
      </c>
      <c r="C814" s="9">
        <v>395.82</v>
      </c>
      <c r="D814">
        <v>998</v>
      </c>
      <c r="E814" s="8">
        <v>2.5213480875145269</v>
      </c>
      <c r="F814" s="7">
        <v>0.39661322645290581</v>
      </c>
      <c r="G814">
        <v>2019</v>
      </c>
    </row>
    <row r="815" spans="1:7" x14ac:dyDescent="0.25">
      <c r="A815" t="s">
        <v>12</v>
      </c>
      <c r="B815" s="3">
        <v>43800</v>
      </c>
      <c r="C815" s="9">
        <v>433.64</v>
      </c>
      <c r="D815">
        <v>998</v>
      </c>
      <c r="E815" s="8">
        <v>2.301448205885066</v>
      </c>
      <c r="F815" s="7">
        <v>0.43450901803607211</v>
      </c>
      <c r="G815">
        <v>2019</v>
      </c>
    </row>
    <row r="816" spans="1:7" x14ac:dyDescent="0.25">
      <c r="A816" t="s">
        <v>12</v>
      </c>
      <c r="B816" s="3">
        <v>43831</v>
      </c>
      <c r="C816" s="9">
        <v>433.39</v>
      </c>
      <c r="D816">
        <v>1039</v>
      </c>
      <c r="E816" s="8">
        <v>2.3973788043102058</v>
      </c>
      <c r="F816" s="7">
        <v>0.4171222329162656</v>
      </c>
      <c r="G816">
        <v>2020</v>
      </c>
    </row>
    <row r="817" spans="1:7" x14ac:dyDescent="0.25">
      <c r="A817" t="s">
        <v>12</v>
      </c>
      <c r="B817" s="3">
        <v>43862</v>
      </c>
      <c r="C817" s="9">
        <v>462.99</v>
      </c>
      <c r="D817">
        <v>1045</v>
      </c>
      <c r="E817" s="8">
        <v>2.2570681872178664</v>
      </c>
      <c r="F817" s="7">
        <v>0.44305263157894736</v>
      </c>
      <c r="G817">
        <v>2020</v>
      </c>
    </row>
    <row r="818" spans="1:7" x14ac:dyDescent="0.25">
      <c r="A818" t="s">
        <v>12</v>
      </c>
      <c r="B818" s="3">
        <v>43891</v>
      </c>
      <c r="C818" s="9">
        <v>475.11</v>
      </c>
      <c r="D818">
        <v>1045</v>
      </c>
      <c r="E818" s="8">
        <v>2.1994906442718527</v>
      </c>
      <c r="F818" s="7">
        <v>0.45465071770334931</v>
      </c>
      <c r="G818">
        <v>2020</v>
      </c>
    </row>
    <row r="819" spans="1:7" x14ac:dyDescent="0.25">
      <c r="A819" t="s">
        <v>12</v>
      </c>
      <c r="B819" s="3">
        <v>43922</v>
      </c>
      <c r="C819" s="9">
        <v>482.46</v>
      </c>
      <c r="D819">
        <v>1045</v>
      </c>
      <c r="E819" s="8">
        <v>2.1659826721386231</v>
      </c>
      <c r="F819" s="7">
        <v>0.46168421052631575</v>
      </c>
      <c r="G819">
        <v>2020</v>
      </c>
    </row>
    <row r="820" spans="1:7" x14ac:dyDescent="0.25">
      <c r="A820" t="s">
        <v>12</v>
      </c>
      <c r="B820" s="3">
        <v>43952</v>
      </c>
      <c r="C820" s="9">
        <v>455.18</v>
      </c>
      <c r="D820">
        <v>1045</v>
      </c>
      <c r="E820" s="8">
        <v>2.2957950700821654</v>
      </c>
      <c r="F820" s="7">
        <v>0.43557894736842107</v>
      </c>
      <c r="G820">
        <v>2020</v>
      </c>
    </row>
    <row r="821" spans="1:7" x14ac:dyDescent="0.25">
      <c r="A821" t="s">
        <v>12</v>
      </c>
      <c r="B821" s="3">
        <v>43983</v>
      </c>
      <c r="C821" s="9">
        <v>464.31</v>
      </c>
      <c r="D821">
        <v>1045</v>
      </c>
      <c r="E821" s="8">
        <v>2.2506515043828474</v>
      </c>
      <c r="F821" s="7">
        <v>0.44431578947368422</v>
      </c>
      <c r="G821">
        <v>2020</v>
      </c>
    </row>
    <row r="822" spans="1:7" x14ac:dyDescent="0.25">
      <c r="A822" t="s">
        <v>12</v>
      </c>
      <c r="B822" s="3">
        <v>44013</v>
      </c>
      <c r="C822" s="9">
        <v>454.74</v>
      </c>
      <c r="D822">
        <v>1045</v>
      </c>
      <c r="E822" s="8">
        <v>2.2980164489598454</v>
      </c>
      <c r="F822" s="7">
        <v>0.43515789473684213</v>
      </c>
      <c r="G822">
        <v>2020</v>
      </c>
    </row>
    <row r="823" spans="1:7" x14ac:dyDescent="0.25">
      <c r="A823" t="s">
        <v>12</v>
      </c>
      <c r="B823" s="3">
        <v>44044</v>
      </c>
      <c r="C823" s="9">
        <v>462.13</v>
      </c>
      <c r="D823">
        <v>1045</v>
      </c>
      <c r="E823" s="8">
        <v>2.2612684742388507</v>
      </c>
      <c r="F823" s="7">
        <v>0.44222966507177031</v>
      </c>
      <c r="G823">
        <v>2020</v>
      </c>
    </row>
    <row r="824" spans="1:7" x14ac:dyDescent="0.25">
      <c r="A824" t="s">
        <v>12</v>
      </c>
      <c r="B824" s="3">
        <v>44075</v>
      </c>
      <c r="C824" s="9">
        <v>485.75</v>
      </c>
      <c r="D824">
        <v>1045</v>
      </c>
      <c r="E824" s="8">
        <v>2.1513124034997428</v>
      </c>
      <c r="F824" s="7">
        <v>0.46483253588516749</v>
      </c>
      <c r="G824">
        <v>2020</v>
      </c>
    </row>
    <row r="825" spans="1:7" x14ac:dyDescent="0.25">
      <c r="A825" t="s">
        <v>12</v>
      </c>
      <c r="B825" s="3">
        <v>44105</v>
      </c>
      <c r="C825" s="9">
        <v>510.54</v>
      </c>
      <c r="D825">
        <v>1045</v>
      </c>
      <c r="E825" s="8">
        <v>2.0468523524111726</v>
      </c>
      <c r="F825" s="7">
        <v>0.48855502392344502</v>
      </c>
      <c r="G825">
        <v>2020</v>
      </c>
    </row>
    <row r="826" spans="1:7" x14ac:dyDescent="0.25">
      <c r="A826" t="s">
        <v>12</v>
      </c>
      <c r="B826" s="3">
        <v>44136</v>
      </c>
      <c r="C826" s="9">
        <v>539.33000000000004</v>
      </c>
      <c r="D826">
        <v>1045</v>
      </c>
      <c r="E826" s="8">
        <v>1.9375892310830103</v>
      </c>
      <c r="F826" s="7">
        <v>0.51610526315789473</v>
      </c>
      <c r="G826">
        <v>2020</v>
      </c>
    </row>
    <row r="827" spans="1:7" x14ac:dyDescent="0.25">
      <c r="A827" t="s">
        <v>12</v>
      </c>
      <c r="B827" s="3">
        <v>44166</v>
      </c>
      <c r="C827" s="9">
        <v>534.96</v>
      </c>
      <c r="D827">
        <v>1045</v>
      </c>
      <c r="E827" s="8">
        <v>1.9534170779123672</v>
      </c>
      <c r="F827" s="7">
        <v>0.51192344497607656</v>
      </c>
      <c r="G827">
        <v>2020</v>
      </c>
    </row>
    <row r="828" spans="1:7" x14ac:dyDescent="0.25">
      <c r="A828" t="s">
        <v>12</v>
      </c>
      <c r="B828" s="3">
        <v>44197</v>
      </c>
      <c r="C828" s="9">
        <v>532.97</v>
      </c>
      <c r="D828">
        <v>1100</v>
      </c>
      <c r="E828" s="8">
        <v>2.0639060359870158</v>
      </c>
      <c r="F828" s="7">
        <v>0.48451818181818185</v>
      </c>
      <c r="G828">
        <v>2021</v>
      </c>
    </row>
    <row r="829" spans="1:7" x14ac:dyDescent="0.25">
      <c r="A829" t="s">
        <v>12</v>
      </c>
      <c r="B829" s="3">
        <v>44228</v>
      </c>
      <c r="C829" s="9">
        <v>523.46</v>
      </c>
      <c r="D829">
        <v>1100</v>
      </c>
      <c r="E829" s="8">
        <v>2.1014022083826842</v>
      </c>
      <c r="F829" s="7">
        <v>0.47587272727272728</v>
      </c>
      <c r="G829">
        <v>2021</v>
      </c>
    </row>
    <row r="830" spans="1:7" x14ac:dyDescent="0.25">
      <c r="A830" t="s">
        <v>12</v>
      </c>
      <c r="B830" s="3">
        <v>44256</v>
      </c>
      <c r="C830" s="9">
        <v>517.04999999999995</v>
      </c>
      <c r="D830">
        <v>1100</v>
      </c>
      <c r="E830" s="8">
        <v>2.127453824581762</v>
      </c>
      <c r="F830" s="7">
        <v>0.47004545454545449</v>
      </c>
      <c r="G830">
        <v>2021</v>
      </c>
    </row>
    <row r="831" spans="1:7" x14ac:dyDescent="0.25">
      <c r="A831" t="s">
        <v>12</v>
      </c>
      <c r="B831" s="3">
        <v>44287</v>
      </c>
      <c r="C831" s="9">
        <v>525.26</v>
      </c>
      <c r="D831">
        <v>1100</v>
      </c>
      <c r="E831" s="8">
        <v>2.094200967140083</v>
      </c>
      <c r="F831" s="7">
        <v>0.47750909090909088</v>
      </c>
      <c r="G831">
        <v>2021</v>
      </c>
    </row>
    <row r="832" spans="1:7" x14ac:dyDescent="0.25">
      <c r="A832" t="s">
        <v>12</v>
      </c>
      <c r="B832" s="3">
        <v>44317</v>
      </c>
      <c r="C832" s="9">
        <v>532.21</v>
      </c>
      <c r="D832">
        <v>1100</v>
      </c>
      <c r="E832" s="8">
        <v>2.0668533097837321</v>
      </c>
      <c r="F832" s="7">
        <v>0.48382727272727277</v>
      </c>
      <c r="G832">
        <v>2021</v>
      </c>
    </row>
    <row r="833" spans="1:7" x14ac:dyDescent="0.25">
      <c r="A833" t="s">
        <v>12</v>
      </c>
      <c r="B833" s="3">
        <v>44348</v>
      </c>
      <c r="C833" s="9">
        <v>541.61</v>
      </c>
      <c r="D833">
        <v>1100</v>
      </c>
      <c r="E833" s="8">
        <v>2.0309817027012058</v>
      </c>
      <c r="F833" s="7">
        <v>0.4923727272727273</v>
      </c>
      <c r="G833">
        <v>2021</v>
      </c>
    </row>
    <row r="834" spans="1:7" x14ac:dyDescent="0.25">
      <c r="A834" t="s">
        <v>12</v>
      </c>
      <c r="B834" s="3">
        <v>44378</v>
      </c>
      <c r="C834" s="9">
        <v>562.82000000000005</v>
      </c>
      <c r="D834">
        <v>1100</v>
      </c>
      <c r="E834" s="8">
        <v>1.9544436942539354</v>
      </c>
      <c r="F834" s="7">
        <v>0.51165454545454547</v>
      </c>
      <c r="G834">
        <v>2021</v>
      </c>
    </row>
    <row r="835" spans="1:7" x14ac:dyDescent="0.25">
      <c r="A835" t="s">
        <v>12</v>
      </c>
      <c r="B835" s="3">
        <v>44409</v>
      </c>
      <c r="C835" s="9">
        <v>552.24</v>
      </c>
      <c r="D835">
        <v>1100</v>
      </c>
      <c r="E835" s="8">
        <v>1.9918875851079241</v>
      </c>
      <c r="F835" s="7">
        <v>0.50203636363636361</v>
      </c>
      <c r="G835">
        <v>2021</v>
      </c>
    </row>
    <row r="836" spans="1:7" x14ac:dyDescent="0.25">
      <c r="A836" t="s">
        <v>12</v>
      </c>
      <c r="B836" s="3">
        <v>44440</v>
      </c>
      <c r="C836" s="9">
        <v>552.09</v>
      </c>
      <c r="D836">
        <v>1100</v>
      </c>
      <c r="E836" s="8">
        <v>1.9924287706714483</v>
      </c>
      <c r="F836" s="7">
        <v>0.50190000000000001</v>
      </c>
      <c r="G836">
        <v>2021</v>
      </c>
    </row>
    <row r="837" spans="1:7" x14ac:dyDescent="0.25">
      <c r="A837" t="s">
        <v>12</v>
      </c>
      <c r="B837" s="3">
        <v>44470</v>
      </c>
      <c r="C837" s="9">
        <v>563.96</v>
      </c>
      <c r="D837">
        <v>1100</v>
      </c>
      <c r="E837" s="8">
        <v>1.9504929427618978</v>
      </c>
      <c r="F837" s="7">
        <v>0.51269090909090909</v>
      </c>
      <c r="G837">
        <v>2021</v>
      </c>
    </row>
    <row r="838" spans="1:7" x14ac:dyDescent="0.25">
      <c r="A838" t="s">
        <v>12</v>
      </c>
      <c r="B838" s="3">
        <v>44501</v>
      </c>
      <c r="C838" s="9">
        <v>580.36</v>
      </c>
      <c r="D838">
        <v>1100</v>
      </c>
      <c r="E838" s="8">
        <v>1.8953752843062925</v>
      </c>
      <c r="F838" s="7">
        <v>0.52759999999999996</v>
      </c>
      <c r="G838">
        <v>2021</v>
      </c>
    </row>
    <row r="839" spans="1:7" x14ac:dyDescent="0.25">
      <c r="A839" t="s">
        <v>12</v>
      </c>
      <c r="B839" s="3">
        <v>44531</v>
      </c>
      <c r="C839" s="9">
        <v>579.05999999999995</v>
      </c>
      <c r="D839">
        <v>1100</v>
      </c>
      <c r="E839" s="8">
        <v>1.899630435533451</v>
      </c>
      <c r="F839" s="7">
        <v>0.52641818181818179</v>
      </c>
      <c r="G839">
        <v>2021</v>
      </c>
    </row>
    <row r="840" spans="1:7" x14ac:dyDescent="0.25">
      <c r="A840" t="s">
        <v>12</v>
      </c>
      <c r="B840" s="3">
        <v>44562</v>
      </c>
      <c r="C840" s="9">
        <v>607.35</v>
      </c>
      <c r="D840">
        <v>1212</v>
      </c>
      <c r="E840" s="8">
        <v>1.9955544578908371</v>
      </c>
      <c r="F840" s="7">
        <v>0.50111386138613867</v>
      </c>
      <c r="G840">
        <v>2022</v>
      </c>
    </row>
    <row r="841" spans="1:7" x14ac:dyDescent="0.25">
      <c r="A841" t="s">
        <v>12</v>
      </c>
      <c r="B841" s="3">
        <v>44593</v>
      </c>
      <c r="C841" s="9">
        <v>609.6</v>
      </c>
      <c r="D841">
        <v>1212</v>
      </c>
      <c r="E841" s="8">
        <v>1.9881889763779528</v>
      </c>
      <c r="F841" s="7">
        <v>0.50297029702970297</v>
      </c>
      <c r="G841">
        <v>2022</v>
      </c>
    </row>
    <row r="842" spans="1:7" x14ac:dyDescent="0.25">
      <c r="A842" t="s">
        <v>12</v>
      </c>
      <c r="B842" s="3">
        <v>44621</v>
      </c>
      <c r="C842" s="9">
        <v>635.02</v>
      </c>
      <c r="D842">
        <v>1212</v>
      </c>
      <c r="E842" s="8">
        <v>1.9086013038959404</v>
      </c>
      <c r="F842" s="7">
        <v>0.52394389438943889</v>
      </c>
      <c r="G842">
        <v>2022</v>
      </c>
    </row>
    <row r="843" spans="1:7" x14ac:dyDescent="0.25">
      <c r="A843" t="s">
        <v>12</v>
      </c>
      <c r="B843" s="3">
        <v>44652</v>
      </c>
      <c r="C843" s="9">
        <v>647.63</v>
      </c>
      <c r="D843">
        <v>1212</v>
      </c>
      <c r="E843" s="8">
        <v>1.8714389389002981</v>
      </c>
      <c r="F843" s="7">
        <v>0.5343481848184819</v>
      </c>
      <c r="G843">
        <v>2022</v>
      </c>
    </row>
    <row r="844" spans="1:7" x14ac:dyDescent="0.25">
      <c r="A844" t="s">
        <v>12</v>
      </c>
      <c r="B844" s="3">
        <v>44682</v>
      </c>
      <c r="C844" s="9">
        <v>628.46</v>
      </c>
      <c r="D844">
        <v>1212</v>
      </c>
      <c r="E844" s="8">
        <v>1.9285236928364573</v>
      </c>
      <c r="F844" s="7">
        <v>0.51853135313531351</v>
      </c>
      <c r="G844">
        <v>2022</v>
      </c>
    </row>
    <row r="845" spans="1:7" x14ac:dyDescent="0.25">
      <c r="A845" t="s">
        <v>12</v>
      </c>
      <c r="B845" s="3">
        <v>44713</v>
      </c>
      <c r="C845" s="9">
        <v>657</v>
      </c>
      <c r="D845">
        <v>1212</v>
      </c>
      <c r="E845" s="8">
        <v>1.8447488584474885</v>
      </c>
      <c r="F845" s="7">
        <v>0.54207920792079212</v>
      </c>
      <c r="G845">
        <v>2022</v>
      </c>
    </row>
    <row r="846" spans="1:7" x14ac:dyDescent="0.25">
      <c r="A846" t="s">
        <v>12</v>
      </c>
      <c r="B846" s="3">
        <v>44743</v>
      </c>
      <c r="C846" s="9">
        <v>641.46</v>
      </c>
      <c r="D846">
        <v>1212</v>
      </c>
      <c r="E846" s="8">
        <v>1.8894397156486764</v>
      </c>
      <c r="F846" s="7">
        <v>0.52925742574257428</v>
      </c>
      <c r="G846">
        <v>2022</v>
      </c>
    </row>
    <row r="847" spans="1:7" x14ac:dyDescent="0.25">
      <c r="A847" t="s">
        <v>12</v>
      </c>
      <c r="B847" s="3">
        <v>44774</v>
      </c>
      <c r="C847" s="9">
        <v>626.98</v>
      </c>
      <c r="D847">
        <v>1212</v>
      </c>
      <c r="E847" s="8">
        <v>1.9330760151838973</v>
      </c>
      <c r="F847" s="7">
        <v>0.51731023102310236</v>
      </c>
      <c r="G847">
        <v>2022</v>
      </c>
    </row>
    <row r="848" spans="1:7" x14ac:dyDescent="0.25">
      <c r="A848" t="s">
        <v>12</v>
      </c>
      <c r="B848" s="3">
        <v>44805</v>
      </c>
      <c r="C848" s="9">
        <v>620.87</v>
      </c>
      <c r="D848">
        <v>1212</v>
      </c>
      <c r="E848" s="8">
        <v>1.9520994733196966</v>
      </c>
      <c r="F848" s="7">
        <v>0.5122689768976898</v>
      </c>
      <c r="G848">
        <v>2022</v>
      </c>
    </row>
    <row r="849" spans="1:7" x14ac:dyDescent="0.25">
      <c r="A849" t="s">
        <v>12</v>
      </c>
      <c r="B849" s="3">
        <v>44835</v>
      </c>
      <c r="C849" s="9">
        <v>622.57000000000005</v>
      </c>
      <c r="D849">
        <v>1212</v>
      </c>
      <c r="E849" s="8">
        <v>1.9467690380198208</v>
      </c>
      <c r="F849" s="7">
        <v>0.51367161716171617</v>
      </c>
      <c r="G849">
        <v>2022</v>
      </c>
    </row>
    <row r="850" spans="1:7" x14ac:dyDescent="0.25">
      <c r="A850" t="s">
        <v>12</v>
      </c>
      <c r="B850" s="3">
        <v>44866</v>
      </c>
      <c r="C850" s="9">
        <v>630.66999999999996</v>
      </c>
      <c r="D850">
        <v>1212</v>
      </c>
      <c r="E850" s="8">
        <v>1.9217657411958713</v>
      </c>
      <c r="F850" s="7">
        <v>0.52035478547854785</v>
      </c>
      <c r="G850">
        <v>2022</v>
      </c>
    </row>
    <row r="851" spans="1:7" x14ac:dyDescent="0.25">
      <c r="A851" t="s">
        <v>12</v>
      </c>
      <c r="B851" s="3">
        <v>44896</v>
      </c>
      <c r="C851" s="9">
        <v>653.99</v>
      </c>
      <c r="D851">
        <v>1212</v>
      </c>
      <c r="E851" s="8">
        <v>1.8532393461673726</v>
      </c>
      <c r="F851" s="7">
        <v>0.53959570957095715</v>
      </c>
      <c r="G851">
        <v>2022</v>
      </c>
    </row>
    <row r="852" spans="1:7" x14ac:dyDescent="0.25">
      <c r="A852" t="s">
        <v>12</v>
      </c>
      <c r="B852" s="3">
        <v>44927</v>
      </c>
      <c r="C852" s="9">
        <v>679.81</v>
      </c>
      <c r="D852">
        <v>1302</v>
      </c>
      <c r="E852" s="8">
        <v>1.9152410232270782</v>
      </c>
      <c r="F852" s="7">
        <v>0.52212749615975418</v>
      </c>
      <c r="G852">
        <v>2023</v>
      </c>
    </row>
    <row r="853" spans="1:7" x14ac:dyDescent="0.25">
      <c r="A853" t="s">
        <v>12</v>
      </c>
      <c r="B853" s="3">
        <v>44958</v>
      </c>
      <c r="C853" s="9">
        <v>671.32</v>
      </c>
      <c r="D853">
        <v>1302</v>
      </c>
      <c r="E853" s="8">
        <v>1.9394625513912886</v>
      </c>
      <c r="F853" s="7">
        <v>0.51560675883256535</v>
      </c>
      <c r="G853">
        <v>2023</v>
      </c>
    </row>
    <row r="854" spans="1:7" x14ac:dyDescent="0.25">
      <c r="A854" t="s">
        <v>12</v>
      </c>
      <c r="B854" s="3">
        <v>44986</v>
      </c>
      <c r="C854" s="9">
        <v>647.91999999999996</v>
      </c>
      <c r="D854">
        <v>1302</v>
      </c>
      <c r="E854" s="8">
        <v>2.0095073465859983</v>
      </c>
      <c r="F854" s="7">
        <v>0.49763440860215052</v>
      </c>
      <c r="G854">
        <v>2023</v>
      </c>
    </row>
    <row r="855" spans="1:7" x14ac:dyDescent="0.25">
      <c r="A855" t="s">
        <v>12</v>
      </c>
      <c r="B855" s="3">
        <v>45017</v>
      </c>
      <c r="C855" s="9">
        <v>669.79</v>
      </c>
      <c r="D855">
        <v>1302</v>
      </c>
      <c r="E855" s="8">
        <v>1.9438928619418028</v>
      </c>
      <c r="F855" s="7">
        <v>0.514431643625192</v>
      </c>
      <c r="G855">
        <v>2023</v>
      </c>
    </row>
    <row r="856" spans="1:7" x14ac:dyDescent="0.25">
      <c r="A856" t="s">
        <v>12</v>
      </c>
      <c r="B856" s="3">
        <v>45047</v>
      </c>
      <c r="C856" s="9">
        <v>672.66</v>
      </c>
      <c r="D856">
        <v>1320</v>
      </c>
      <c r="E856" s="8">
        <v>1.9623583980019625</v>
      </c>
      <c r="F856" s="7">
        <v>0.50959090909090909</v>
      </c>
      <c r="G856">
        <v>2023</v>
      </c>
    </row>
    <row r="857" spans="1:7" x14ac:dyDescent="0.25">
      <c r="A857" t="s">
        <v>12</v>
      </c>
      <c r="B857" s="3">
        <v>45078</v>
      </c>
      <c r="C857" s="9">
        <v>661.16</v>
      </c>
      <c r="D857">
        <v>1320</v>
      </c>
      <c r="E857" s="8">
        <v>1.996491015790429</v>
      </c>
      <c r="F857" s="7">
        <v>0.50087878787878781</v>
      </c>
      <c r="G857">
        <v>2023</v>
      </c>
    </row>
    <row r="858" spans="1:7" x14ac:dyDescent="0.25">
      <c r="A858" t="s">
        <v>12</v>
      </c>
      <c r="B858" s="3">
        <v>45108</v>
      </c>
      <c r="C858" s="9">
        <v>661.5</v>
      </c>
      <c r="D858">
        <v>1320</v>
      </c>
      <c r="E858" s="8">
        <v>1.9954648526077097</v>
      </c>
      <c r="F858" s="7">
        <v>0.5011363636363636</v>
      </c>
      <c r="G858">
        <v>2023</v>
      </c>
    </row>
    <row r="859" spans="1:7" x14ac:dyDescent="0.25">
      <c r="A859" t="s">
        <v>12</v>
      </c>
      <c r="B859" s="3">
        <v>45139</v>
      </c>
      <c r="C859" s="9">
        <v>642.67999999999995</v>
      </c>
      <c r="D859">
        <v>1320</v>
      </c>
      <c r="E859" s="8">
        <v>2.0538992966950893</v>
      </c>
      <c r="F859" s="7">
        <v>0.48687878787878786</v>
      </c>
      <c r="G859">
        <v>2023</v>
      </c>
    </row>
    <row r="860" spans="1:7" x14ac:dyDescent="0.25">
      <c r="A860" t="s">
        <v>12</v>
      </c>
      <c r="B860" s="3">
        <v>45170</v>
      </c>
      <c r="C860" s="9">
        <v>640.48</v>
      </c>
      <c r="D860">
        <v>1320</v>
      </c>
      <c r="E860" s="8">
        <v>2.060954284286785</v>
      </c>
      <c r="F860" s="7">
        <v>0.48521212121212121</v>
      </c>
      <c r="G860">
        <v>2023</v>
      </c>
    </row>
    <row r="861" spans="1:7" x14ac:dyDescent="0.25">
      <c r="A861" t="s">
        <v>12</v>
      </c>
      <c r="B861" s="3">
        <v>45200</v>
      </c>
      <c r="C861" s="9">
        <v>648.92999999999995</v>
      </c>
      <c r="D861">
        <v>1320</v>
      </c>
      <c r="E861" s="8">
        <v>2.0341177014469976</v>
      </c>
      <c r="F861" s="7">
        <v>0.49161363636363631</v>
      </c>
      <c r="G861">
        <v>2023</v>
      </c>
    </row>
    <row r="862" spans="1:7" x14ac:dyDescent="0.25">
      <c r="A862" t="s">
        <v>12</v>
      </c>
      <c r="B862" s="3">
        <v>45231</v>
      </c>
      <c r="C862" s="9">
        <v>639.91</v>
      </c>
      <c r="D862">
        <v>1320</v>
      </c>
      <c r="E862" s="8">
        <v>2.0627900798549796</v>
      </c>
      <c r="F862" s="7">
        <v>0.48478030303030301</v>
      </c>
      <c r="G862">
        <v>2023</v>
      </c>
    </row>
    <row r="863" spans="1:7" x14ac:dyDescent="0.25">
      <c r="A863" t="s">
        <v>12</v>
      </c>
      <c r="B863" s="3">
        <v>45261</v>
      </c>
      <c r="C863" s="9">
        <v>630.38</v>
      </c>
      <c r="D863">
        <v>1320</v>
      </c>
      <c r="E863" s="8">
        <v>2.0939750626606175</v>
      </c>
      <c r="F863" s="7">
        <v>0.47756060606060607</v>
      </c>
      <c r="G863">
        <v>2023</v>
      </c>
    </row>
    <row r="864" spans="1:7" x14ac:dyDescent="0.25">
      <c r="A864" t="s">
        <v>12</v>
      </c>
      <c r="B864" s="3">
        <v>45292</v>
      </c>
      <c r="C864" s="9">
        <v>618.32000000000005</v>
      </c>
      <c r="D864">
        <v>1412</v>
      </c>
      <c r="E864" s="8">
        <v>2.2836071936861169</v>
      </c>
      <c r="F864" s="7">
        <v>0.43790368271954677</v>
      </c>
      <c r="G864">
        <v>2024</v>
      </c>
    </row>
    <row r="865" spans="1:7" x14ac:dyDescent="0.25">
      <c r="A865" t="s">
        <v>12</v>
      </c>
      <c r="B865" s="3">
        <v>45323</v>
      </c>
      <c r="C865" s="9">
        <v>627.66999999999996</v>
      </c>
      <c r="D865">
        <v>1412</v>
      </c>
      <c r="E865" s="8">
        <v>2.2495897525769912</v>
      </c>
      <c r="F865" s="7">
        <v>0.44452549575070821</v>
      </c>
      <c r="G865">
        <v>2024</v>
      </c>
    </row>
    <row r="866" spans="1:7" x14ac:dyDescent="0.25">
      <c r="A866" t="s">
        <v>12</v>
      </c>
      <c r="B866" s="3">
        <v>45352</v>
      </c>
      <c r="C866" s="9">
        <v>663.22</v>
      </c>
      <c r="D866">
        <v>1412</v>
      </c>
      <c r="E866" s="8">
        <v>2.1290069660142938</v>
      </c>
      <c r="F866" s="7">
        <v>0.46970254957507085</v>
      </c>
      <c r="G866">
        <v>2024</v>
      </c>
    </row>
    <row r="867" spans="1:7" x14ac:dyDescent="0.25">
      <c r="A867" t="s">
        <v>12</v>
      </c>
      <c r="B867" s="3">
        <v>45383</v>
      </c>
      <c r="C867" s="9">
        <v>714.68</v>
      </c>
      <c r="D867">
        <v>1412</v>
      </c>
      <c r="E867" s="8">
        <v>1.9757094084065596</v>
      </c>
      <c r="F867" s="7">
        <v>0.50614730878186964</v>
      </c>
      <c r="G867">
        <v>2024</v>
      </c>
    </row>
    <row r="868" spans="1:7" x14ac:dyDescent="0.25">
      <c r="A868" t="s">
        <v>12</v>
      </c>
      <c r="B868" s="3">
        <v>45413</v>
      </c>
      <c r="C868" s="9">
        <v>709.9</v>
      </c>
      <c r="D868">
        <v>1412</v>
      </c>
      <c r="E868" s="8">
        <v>1.9890125369770391</v>
      </c>
      <c r="F868" s="7">
        <v>0.50276203966005661</v>
      </c>
      <c r="G868">
        <v>2024</v>
      </c>
    </row>
    <row r="869" spans="1:7" x14ac:dyDescent="0.25">
      <c r="A869" t="s">
        <v>12</v>
      </c>
      <c r="B869" s="3">
        <v>45444</v>
      </c>
      <c r="C869" s="9">
        <v>697.33</v>
      </c>
      <c r="D869">
        <v>1412</v>
      </c>
      <c r="E869" s="8">
        <v>2.0248662756514131</v>
      </c>
      <c r="F869" s="7">
        <v>0.49385977337110487</v>
      </c>
      <c r="G869">
        <v>2024</v>
      </c>
    </row>
    <row r="870" spans="1:7" x14ac:dyDescent="0.25">
      <c r="A870" t="s">
        <v>12</v>
      </c>
      <c r="B870" s="3">
        <v>45474</v>
      </c>
      <c r="C870" s="9">
        <v>677.53</v>
      </c>
      <c r="D870">
        <v>1412</v>
      </c>
      <c r="E870" s="8">
        <v>2.0840405590896345</v>
      </c>
      <c r="F870" s="7">
        <v>0.47983711048158639</v>
      </c>
      <c r="G870">
        <v>2024</v>
      </c>
    </row>
    <row r="871" spans="1:7" x14ac:dyDescent="0.25">
      <c r="A871" t="s">
        <v>12</v>
      </c>
      <c r="B871" s="3">
        <v>45505</v>
      </c>
      <c r="C871" s="9">
        <v>630.48</v>
      </c>
      <c r="D871">
        <v>1412</v>
      </c>
      <c r="E871" s="8">
        <v>2.2395635071691409</v>
      </c>
      <c r="F871" s="7">
        <v>0.4465155807365439</v>
      </c>
      <c r="G871">
        <v>2024</v>
      </c>
    </row>
    <row r="872" spans="1:7" x14ac:dyDescent="0.25">
      <c r="A872" t="s">
        <v>12</v>
      </c>
      <c r="B872" s="3">
        <v>45536</v>
      </c>
      <c r="C872" s="9">
        <v>615.91999999999996</v>
      </c>
      <c r="D872">
        <v>1412</v>
      </c>
      <c r="E872" s="8">
        <v>2.2925055201974285</v>
      </c>
      <c r="F872" s="7">
        <v>0.43620396600566569</v>
      </c>
      <c r="G872">
        <v>2024</v>
      </c>
    </row>
    <row r="873" spans="1:7" x14ac:dyDescent="0.25">
      <c r="A873" t="s">
        <v>12</v>
      </c>
      <c r="B873" s="3">
        <v>45566</v>
      </c>
      <c r="C873" s="9">
        <v>641.34</v>
      </c>
      <c r="D873">
        <v>1412</v>
      </c>
      <c r="E873" s="8">
        <v>2.201640315589235</v>
      </c>
      <c r="F873" s="7">
        <v>0.45420679886685555</v>
      </c>
      <c r="G873">
        <v>2024</v>
      </c>
    </row>
    <row r="874" spans="1:7" x14ac:dyDescent="0.25">
      <c r="A874" t="s">
        <v>12</v>
      </c>
      <c r="B874" s="3">
        <v>45597</v>
      </c>
      <c r="C874" s="9">
        <v>663.95</v>
      </c>
      <c r="D874">
        <v>1412</v>
      </c>
      <c r="E874" s="8">
        <v>2.1266661646208296</v>
      </c>
      <c r="F874" s="7">
        <v>0.47021954674220967</v>
      </c>
      <c r="G874">
        <v>2024</v>
      </c>
    </row>
    <row r="875" spans="1:7" x14ac:dyDescent="0.25">
      <c r="A875" t="s">
        <v>12</v>
      </c>
      <c r="B875" s="3">
        <v>45627</v>
      </c>
      <c r="C875" s="9">
        <v>673.77</v>
      </c>
      <c r="D875">
        <v>1412</v>
      </c>
      <c r="E875" s="8">
        <v>2.0956706294432821</v>
      </c>
      <c r="F875" s="7">
        <v>0.4771742209631728</v>
      </c>
      <c r="G875">
        <v>2024</v>
      </c>
    </row>
    <row r="876" spans="1:7" x14ac:dyDescent="0.25">
      <c r="A876" t="s">
        <v>12</v>
      </c>
      <c r="B876" s="3">
        <v>45658</v>
      </c>
      <c r="C876" s="9">
        <v>700.44</v>
      </c>
      <c r="D876">
        <v>1518</v>
      </c>
      <c r="E876" s="8">
        <v>2.1672091827993829</v>
      </c>
      <c r="F876" s="7">
        <v>0.4614229249011858</v>
      </c>
      <c r="G876">
        <v>2025</v>
      </c>
    </row>
    <row r="877" spans="1:7" x14ac:dyDescent="0.25">
      <c r="A877" t="s">
        <v>12</v>
      </c>
      <c r="B877" s="3">
        <v>45689</v>
      </c>
      <c r="C877" s="9">
        <v>710.66</v>
      </c>
      <c r="D877">
        <v>1518</v>
      </c>
      <c r="E877" s="8">
        <v>2.1360425519939215</v>
      </c>
      <c r="F877" s="7">
        <v>0.46815546772068511</v>
      </c>
      <c r="G877">
        <v>2025</v>
      </c>
    </row>
    <row r="878" spans="1:7" x14ac:dyDescent="0.25">
      <c r="A878" t="s">
        <v>12</v>
      </c>
      <c r="B878" s="3">
        <v>45717</v>
      </c>
      <c r="C878" s="9">
        <v>727.46</v>
      </c>
      <c r="D878">
        <v>1518</v>
      </c>
      <c r="E878" s="8">
        <v>2.0867126714870921</v>
      </c>
      <c r="F878" s="7">
        <v>0.47922266139657449</v>
      </c>
      <c r="G878">
        <v>2025</v>
      </c>
    </row>
    <row r="879" spans="1:7" x14ac:dyDescent="0.25">
      <c r="A879" t="s">
        <v>12</v>
      </c>
      <c r="B879" s="3">
        <v>45748</v>
      </c>
      <c r="C879" s="9">
        <v>746.52</v>
      </c>
      <c r="D879">
        <v>1518</v>
      </c>
      <c r="E879" s="8">
        <v>2.0334351390451695</v>
      </c>
      <c r="F879" s="7">
        <v>0.49177865612648219</v>
      </c>
      <c r="G879">
        <v>2025</v>
      </c>
    </row>
    <row r="880" spans="1:7" x14ac:dyDescent="0.25">
      <c r="A880" t="s">
        <v>12</v>
      </c>
      <c r="B880" s="3">
        <v>45778</v>
      </c>
      <c r="C880" s="9">
        <v>728.49</v>
      </c>
      <c r="D880">
        <v>1518</v>
      </c>
      <c r="E880" s="8">
        <v>2.0837623028456123</v>
      </c>
      <c r="F880" s="7">
        <v>0.47990118577075097</v>
      </c>
      <c r="G880">
        <v>2025</v>
      </c>
    </row>
    <row r="881" spans="1:7" x14ac:dyDescent="0.25">
      <c r="A881" t="s">
        <v>12</v>
      </c>
      <c r="B881" s="3">
        <v>45809</v>
      </c>
      <c r="C881" s="9">
        <v>735.11</v>
      </c>
      <c r="D881">
        <v>1518</v>
      </c>
      <c r="E881" s="8">
        <v>2.0649970752676472</v>
      </c>
      <c r="F881" s="7">
        <v>0.48426218708827407</v>
      </c>
      <c r="G881">
        <v>2025</v>
      </c>
    </row>
    <row r="882" spans="1:7" x14ac:dyDescent="0.25">
      <c r="A882" t="s">
        <v>13</v>
      </c>
      <c r="B882" s="3">
        <v>42005</v>
      </c>
      <c r="C882" s="9">
        <v>323.73</v>
      </c>
      <c r="D882">
        <v>788</v>
      </c>
      <c r="E882" s="8">
        <v>2.4341272047694065</v>
      </c>
      <c r="F882" s="7">
        <v>0.41082487309644672</v>
      </c>
      <c r="G882">
        <v>2015</v>
      </c>
    </row>
    <row r="883" spans="1:7" x14ac:dyDescent="0.25">
      <c r="A883" t="s">
        <v>13</v>
      </c>
      <c r="B883" s="3">
        <v>42036</v>
      </c>
      <c r="C883" s="9">
        <v>325.64</v>
      </c>
      <c r="D883">
        <v>788</v>
      </c>
      <c r="E883" s="8">
        <v>2.4198501412602877</v>
      </c>
      <c r="F883" s="7">
        <v>0.41324873096446701</v>
      </c>
      <c r="G883">
        <v>2015</v>
      </c>
    </row>
    <row r="884" spans="1:7" x14ac:dyDescent="0.25">
      <c r="A884" t="s">
        <v>13</v>
      </c>
      <c r="B884" s="3">
        <v>42064</v>
      </c>
      <c r="C884" s="9">
        <v>323.48</v>
      </c>
      <c r="D884">
        <v>788</v>
      </c>
      <c r="E884" s="8">
        <v>2.4360084085569431</v>
      </c>
      <c r="F884" s="7">
        <v>0.41050761421319798</v>
      </c>
      <c r="G884">
        <v>2015</v>
      </c>
    </row>
    <row r="885" spans="1:7" x14ac:dyDescent="0.25">
      <c r="A885" t="s">
        <v>13</v>
      </c>
      <c r="B885" s="3">
        <v>42095</v>
      </c>
      <c r="C885" s="9">
        <v>327.69</v>
      </c>
      <c r="D885">
        <v>788</v>
      </c>
      <c r="E885" s="8">
        <v>2.4047117702706826</v>
      </c>
      <c r="F885" s="7">
        <v>0.41585025380710661</v>
      </c>
      <c r="G885">
        <v>2015</v>
      </c>
    </row>
    <row r="886" spans="1:7" x14ac:dyDescent="0.25">
      <c r="A886" t="s">
        <v>13</v>
      </c>
      <c r="B886" s="3">
        <v>42125</v>
      </c>
      <c r="C886" s="9">
        <v>347.03</v>
      </c>
      <c r="D886">
        <v>788</v>
      </c>
      <c r="E886" s="8">
        <v>2.2706970578912489</v>
      </c>
      <c r="F886" s="7">
        <v>0.44039340101522839</v>
      </c>
      <c r="G886">
        <v>2015</v>
      </c>
    </row>
    <row r="887" spans="1:7" x14ac:dyDescent="0.25">
      <c r="A887" t="s">
        <v>13</v>
      </c>
      <c r="B887" s="3">
        <v>42156</v>
      </c>
      <c r="C887" s="9">
        <v>329.65</v>
      </c>
      <c r="D887">
        <v>788</v>
      </c>
      <c r="E887" s="8">
        <v>2.3904140755346583</v>
      </c>
      <c r="F887" s="7">
        <v>0.41833756345177664</v>
      </c>
      <c r="G887">
        <v>2015</v>
      </c>
    </row>
    <row r="888" spans="1:7" x14ac:dyDescent="0.25">
      <c r="A888" t="s">
        <v>13</v>
      </c>
      <c r="B888" s="3">
        <v>42186</v>
      </c>
      <c r="C888" s="9">
        <v>327.47000000000003</v>
      </c>
      <c r="D888">
        <v>788</v>
      </c>
      <c r="E888" s="8">
        <v>2.4063272971569911</v>
      </c>
      <c r="F888" s="7">
        <v>0.41557106598984778</v>
      </c>
      <c r="G888">
        <v>2015</v>
      </c>
    </row>
    <row r="889" spans="1:7" x14ac:dyDescent="0.25">
      <c r="A889" t="s">
        <v>13</v>
      </c>
      <c r="B889" s="3">
        <v>42217</v>
      </c>
      <c r="C889" s="9">
        <v>320.69</v>
      </c>
      <c r="D889">
        <v>788</v>
      </c>
      <c r="E889" s="8">
        <v>2.4572016589229473</v>
      </c>
      <c r="F889" s="7">
        <v>0.40696700507614214</v>
      </c>
      <c r="G889">
        <v>2015</v>
      </c>
    </row>
    <row r="890" spans="1:7" x14ac:dyDescent="0.25">
      <c r="A890" t="s">
        <v>13</v>
      </c>
      <c r="B890" s="3">
        <v>42248</v>
      </c>
      <c r="C890" s="9">
        <v>311.2</v>
      </c>
      <c r="D890">
        <v>788</v>
      </c>
      <c r="E890" s="8">
        <v>2.532133676092545</v>
      </c>
      <c r="F890" s="7">
        <v>0.39492385786802031</v>
      </c>
      <c r="G890">
        <v>2015</v>
      </c>
    </row>
    <row r="891" spans="1:7" x14ac:dyDescent="0.25">
      <c r="A891" t="s">
        <v>13</v>
      </c>
      <c r="B891" s="3">
        <v>42278</v>
      </c>
      <c r="C891" s="9">
        <v>310.73</v>
      </c>
      <c r="D891">
        <v>788</v>
      </c>
      <c r="E891" s="8">
        <v>2.5359636983876674</v>
      </c>
      <c r="F891" s="7">
        <v>0.39432741116751269</v>
      </c>
      <c r="G891">
        <v>2015</v>
      </c>
    </row>
    <row r="892" spans="1:7" x14ac:dyDescent="0.25">
      <c r="A892" t="s">
        <v>13</v>
      </c>
      <c r="B892" s="3">
        <v>42309</v>
      </c>
      <c r="C892" s="9">
        <v>321.85000000000002</v>
      </c>
      <c r="D892">
        <v>788</v>
      </c>
      <c r="E892" s="8">
        <v>2.4483455025633059</v>
      </c>
      <c r="F892" s="7">
        <v>0.40843908629441628</v>
      </c>
      <c r="G892">
        <v>2015</v>
      </c>
    </row>
    <row r="893" spans="1:7" x14ac:dyDescent="0.25">
      <c r="A893" t="s">
        <v>13</v>
      </c>
      <c r="B893" s="3">
        <v>42339</v>
      </c>
      <c r="C893" s="9">
        <v>335.87</v>
      </c>
      <c r="D893">
        <v>788</v>
      </c>
      <c r="E893" s="8">
        <v>2.3461458302319351</v>
      </c>
      <c r="F893" s="7">
        <v>0.42623096446700509</v>
      </c>
      <c r="G893">
        <v>2015</v>
      </c>
    </row>
    <row r="894" spans="1:7" x14ac:dyDescent="0.25">
      <c r="A894" t="s">
        <v>13</v>
      </c>
      <c r="B894" s="3">
        <v>42370</v>
      </c>
      <c r="C894" s="9">
        <v>388.45</v>
      </c>
      <c r="D894">
        <v>880</v>
      </c>
      <c r="E894" s="8">
        <v>2.2654138241729953</v>
      </c>
      <c r="F894" s="7">
        <v>0.44142045454545453</v>
      </c>
      <c r="G894">
        <v>2016</v>
      </c>
    </row>
    <row r="895" spans="1:7" x14ac:dyDescent="0.25">
      <c r="A895" t="s">
        <v>13</v>
      </c>
      <c r="B895" s="3">
        <v>42401</v>
      </c>
      <c r="C895" s="9">
        <v>371.8</v>
      </c>
      <c r="D895">
        <v>880</v>
      </c>
      <c r="E895" s="8">
        <v>2.3668639053254439</v>
      </c>
      <c r="F895" s="7">
        <v>0.42249999999999999</v>
      </c>
      <c r="G895">
        <v>2016</v>
      </c>
    </row>
    <row r="896" spans="1:7" x14ac:dyDescent="0.25">
      <c r="A896" t="s">
        <v>13</v>
      </c>
      <c r="B896" s="3">
        <v>42430</v>
      </c>
      <c r="C896" s="9">
        <v>378.45</v>
      </c>
      <c r="D896">
        <v>880</v>
      </c>
      <c r="E896" s="8">
        <v>2.3252741445369272</v>
      </c>
      <c r="F896" s="7">
        <v>0.43005681818181818</v>
      </c>
      <c r="G896">
        <v>2016</v>
      </c>
    </row>
    <row r="897" spans="1:7" x14ac:dyDescent="0.25">
      <c r="A897" t="s">
        <v>13</v>
      </c>
      <c r="B897" s="3">
        <v>42461</v>
      </c>
      <c r="C897" s="9">
        <v>382.16</v>
      </c>
      <c r="D897">
        <v>880</v>
      </c>
      <c r="E897" s="8">
        <v>2.3027004396064474</v>
      </c>
      <c r="F897" s="7">
        <v>0.43427272727272731</v>
      </c>
      <c r="G897">
        <v>2016</v>
      </c>
    </row>
    <row r="898" spans="1:7" x14ac:dyDescent="0.25">
      <c r="A898" t="s">
        <v>13</v>
      </c>
      <c r="B898" s="3">
        <v>42491</v>
      </c>
      <c r="C898" s="9">
        <v>385.24</v>
      </c>
      <c r="D898">
        <v>880</v>
      </c>
      <c r="E898" s="8">
        <v>2.2842903125324474</v>
      </c>
      <c r="F898" s="7">
        <v>0.43777272727272726</v>
      </c>
      <c r="G898">
        <v>2016</v>
      </c>
    </row>
    <row r="899" spans="1:7" x14ac:dyDescent="0.25">
      <c r="A899" t="s">
        <v>13</v>
      </c>
      <c r="B899" s="3">
        <v>42522</v>
      </c>
      <c r="C899" s="9">
        <v>421.46</v>
      </c>
      <c r="D899">
        <v>880</v>
      </c>
      <c r="E899" s="8">
        <v>2.0879798794666162</v>
      </c>
      <c r="F899" s="7">
        <v>0.47893181818181818</v>
      </c>
      <c r="G899">
        <v>2016</v>
      </c>
    </row>
    <row r="900" spans="1:7" x14ac:dyDescent="0.25">
      <c r="A900" t="s">
        <v>13</v>
      </c>
      <c r="B900" s="3">
        <v>42552</v>
      </c>
      <c r="C900" s="9">
        <v>424.47</v>
      </c>
      <c r="D900">
        <v>880</v>
      </c>
      <c r="E900" s="8">
        <v>2.0731736047306053</v>
      </c>
      <c r="F900" s="7">
        <v>0.48235227272727277</v>
      </c>
      <c r="G900">
        <v>2016</v>
      </c>
    </row>
    <row r="901" spans="1:7" x14ac:dyDescent="0.25">
      <c r="A901" t="s">
        <v>13</v>
      </c>
      <c r="B901" s="3">
        <v>42583</v>
      </c>
      <c r="C901" s="9">
        <v>411.12</v>
      </c>
      <c r="D901">
        <v>880</v>
      </c>
      <c r="E901" s="8">
        <v>2.1404942595835768</v>
      </c>
      <c r="F901" s="7">
        <v>0.4671818181818182</v>
      </c>
      <c r="G901">
        <v>2016</v>
      </c>
    </row>
    <row r="902" spans="1:7" x14ac:dyDescent="0.25">
      <c r="A902" t="s">
        <v>13</v>
      </c>
      <c r="B902" s="3">
        <v>42614</v>
      </c>
      <c r="C902" s="9">
        <v>393.39</v>
      </c>
      <c r="D902">
        <v>880</v>
      </c>
      <c r="E902" s="8">
        <v>2.2369658608505554</v>
      </c>
      <c r="F902" s="7">
        <v>0.44703409090909091</v>
      </c>
      <c r="G902">
        <v>2016</v>
      </c>
    </row>
    <row r="903" spans="1:7" x14ac:dyDescent="0.25">
      <c r="A903" t="s">
        <v>13</v>
      </c>
      <c r="B903" s="3">
        <v>42644</v>
      </c>
      <c r="C903" s="9">
        <v>389.44</v>
      </c>
      <c r="D903">
        <v>880</v>
      </c>
      <c r="E903" s="8">
        <v>2.2596548890714874</v>
      </c>
      <c r="F903" s="7">
        <v>0.44254545454545452</v>
      </c>
      <c r="G903">
        <v>2016</v>
      </c>
    </row>
    <row r="904" spans="1:7" x14ac:dyDescent="0.25">
      <c r="A904" t="s">
        <v>13</v>
      </c>
      <c r="B904" s="3">
        <v>42675</v>
      </c>
      <c r="C904" s="9">
        <v>387.56</v>
      </c>
      <c r="D904">
        <v>880</v>
      </c>
      <c r="E904" s="8">
        <v>2.2706161626586852</v>
      </c>
      <c r="F904" s="7">
        <v>0.44040909090909092</v>
      </c>
      <c r="G904">
        <v>2016</v>
      </c>
    </row>
    <row r="905" spans="1:7" x14ac:dyDescent="0.25">
      <c r="A905" t="s">
        <v>13</v>
      </c>
      <c r="B905" s="3">
        <v>42705</v>
      </c>
      <c r="C905" s="9">
        <v>386.84</v>
      </c>
      <c r="D905">
        <v>880</v>
      </c>
      <c r="E905" s="8">
        <v>2.2748423120670047</v>
      </c>
      <c r="F905" s="7">
        <v>0.43959090909090909</v>
      </c>
      <c r="G905">
        <v>2016</v>
      </c>
    </row>
    <row r="906" spans="1:7" x14ac:dyDescent="0.25">
      <c r="A906" t="s">
        <v>13</v>
      </c>
      <c r="B906" s="3">
        <v>42736</v>
      </c>
      <c r="C906" s="9">
        <v>385.84</v>
      </c>
      <c r="D906">
        <v>937</v>
      </c>
      <c r="E906" s="8">
        <v>2.428467758656438</v>
      </c>
      <c r="F906" s="7">
        <v>0.41178228388473848</v>
      </c>
      <c r="G906">
        <v>2017</v>
      </c>
    </row>
    <row r="907" spans="1:7" x14ac:dyDescent="0.25">
      <c r="A907" t="s">
        <v>13</v>
      </c>
      <c r="B907" s="3">
        <v>42767</v>
      </c>
      <c r="C907" s="9">
        <v>380.18</v>
      </c>
      <c r="D907">
        <v>937</v>
      </c>
      <c r="E907" s="8">
        <v>2.4646220211478771</v>
      </c>
      <c r="F907" s="7">
        <v>0.40574172892209182</v>
      </c>
      <c r="G907">
        <v>2017</v>
      </c>
    </row>
    <row r="908" spans="1:7" x14ac:dyDescent="0.25">
      <c r="A908" t="s">
        <v>13</v>
      </c>
      <c r="B908" s="3">
        <v>42795</v>
      </c>
      <c r="C908" s="9">
        <v>388.31</v>
      </c>
      <c r="D908">
        <v>937</v>
      </c>
      <c r="E908" s="8">
        <v>2.4130205248384025</v>
      </c>
      <c r="F908" s="7">
        <v>0.41441835645677694</v>
      </c>
      <c r="G908">
        <v>2017</v>
      </c>
    </row>
    <row r="909" spans="1:7" x14ac:dyDescent="0.25">
      <c r="A909" t="s">
        <v>13</v>
      </c>
      <c r="B909" s="3">
        <v>42826</v>
      </c>
      <c r="C909" s="9">
        <v>388.83</v>
      </c>
      <c r="D909">
        <v>937</v>
      </c>
      <c r="E909" s="8">
        <v>2.409793483013142</v>
      </c>
      <c r="F909" s="7">
        <v>0.41497331910352186</v>
      </c>
      <c r="G909">
        <v>2017</v>
      </c>
    </row>
    <row r="910" spans="1:7" x14ac:dyDescent="0.25">
      <c r="A910" t="s">
        <v>13</v>
      </c>
      <c r="B910" s="3">
        <v>42856</v>
      </c>
      <c r="C910" s="9">
        <v>392.72</v>
      </c>
      <c r="D910">
        <v>937</v>
      </c>
      <c r="E910" s="8">
        <v>2.3859238134039518</v>
      </c>
      <c r="F910" s="7">
        <v>0.41912486659551762</v>
      </c>
      <c r="G910">
        <v>2017</v>
      </c>
    </row>
    <row r="911" spans="1:7" x14ac:dyDescent="0.25">
      <c r="A911" t="s">
        <v>13</v>
      </c>
      <c r="B911" s="3">
        <v>42887</v>
      </c>
      <c r="C911" s="9">
        <v>390.1</v>
      </c>
      <c r="D911">
        <v>937</v>
      </c>
      <c r="E911" s="8">
        <v>2.4019482184055367</v>
      </c>
      <c r="F911" s="7">
        <v>0.41632870864461047</v>
      </c>
      <c r="G911">
        <v>2017</v>
      </c>
    </row>
    <row r="912" spans="1:7" x14ac:dyDescent="0.25">
      <c r="A912" t="s">
        <v>13</v>
      </c>
      <c r="B912" s="3">
        <v>42917</v>
      </c>
      <c r="C912" s="9">
        <v>386.67</v>
      </c>
      <c r="D912">
        <v>937</v>
      </c>
      <c r="E912" s="8">
        <v>2.423254971939897</v>
      </c>
      <c r="F912" s="7">
        <v>0.41266808964781221</v>
      </c>
      <c r="G912">
        <v>2017</v>
      </c>
    </row>
    <row r="913" spans="1:7" x14ac:dyDescent="0.25">
      <c r="A913" t="s">
        <v>13</v>
      </c>
      <c r="B913" s="3">
        <v>42948</v>
      </c>
      <c r="C913" s="9">
        <v>386.81</v>
      </c>
      <c r="D913">
        <v>937</v>
      </c>
      <c r="E913" s="8">
        <v>2.4223779116362039</v>
      </c>
      <c r="F913" s="7">
        <v>0.41281750266808964</v>
      </c>
      <c r="G913">
        <v>2017</v>
      </c>
    </row>
    <row r="914" spans="1:7" x14ac:dyDescent="0.25">
      <c r="A914" t="s">
        <v>13</v>
      </c>
      <c r="B914" s="3">
        <v>42979</v>
      </c>
      <c r="C914" s="9">
        <v>372.99</v>
      </c>
      <c r="D914">
        <v>937</v>
      </c>
      <c r="E914" s="8">
        <v>2.5121316925386741</v>
      </c>
      <c r="F914" s="7">
        <v>0.39806830309498398</v>
      </c>
      <c r="G914">
        <v>2017</v>
      </c>
    </row>
    <row r="915" spans="1:7" x14ac:dyDescent="0.25">
      <c r="A915" t="s">
        <v>13</v>
      </c>
      <c r="B915" s="3">
        <v>43009</v>
      </c>
      <c r="C915" s="9">
        <v>362.58</v>
      </c>
      <c r="D915">
        <v>937</v>
      </c>
      <c r="E915" s="8">
        <v>2.5842572673616857</v>
      </c>
      <c r="F915" s="7">
        <v>0.38695837780149411</v>
      </c>
      <c r="G915">
        <v>2017</v>
      </c>
    </row>
    <row r="916" spans="1:7" x14ac:dyDescent="0.25">
      <c r="A916" t="s">
        <v>13</v>
      </c>
      <c r="B916" s="3">
        <v>43040</v>
      </c>
      <c r="C916" s="9">
        <v>361.96</v>
      </c>
      <c r="D916">
        <v>937</v>
      </c>
      <c r="E916" s="8">
        <v>2.5886838324676762</v>
      </c>
      <c r="F916" s="7">
        <v>0.38629669156883667</v>
      </c>
      <c r="G916">
        <v>2017</v>
      </c>
    </row>
    <row r="917" spans="1:7" x14ac:dyDescent="0.25">
      <c r="A917" t="s">
        <v>13</v>
      </c>
      <c r="B917" s="3">
        <v>43070</v>
      </c>
      <c r="C917" s="9">
        <v>360.7</v>
      </c>
      <c r="D917">
        <v>937</v>
      </c>
      <c r="E917" s="8">
        <v>2.5977266426393126</v>
      </c>
      <c r="F917" s="7">
        <v>0.38495197438633938</v>
      </c>
      <c r="G917">
        <v>2017</v>
      </c>
    </row>
    <row r="918" spans="1:7" x14ac:dyDescent="0.25">
      <c r="A918" t="s">
        <v>13</v>
      </c>
      <c r="B918" s="3">
        <v>43101</v>
      </c>
      <c r="C918" s="9">
        <v>362.23</v>
      </c>
      <c r="D918">
        <v>954</v>
      </c>
      <c r="E918" s="8">
        <v>2.6336857797531952</v>
      </c>
      <c r="F918" s="7">
        <v>0.37969601677148851</v>
      </c>
      <c r="G918">
        <v>2018</v>
      </c>
    </row>
    <row r="919" spans="1:7" x14ac:dyDescent="0.25">
      <c r="A919" t="s">
        <v>13</v>
      </c>
      <c r="B919" s="3">
        <v>43132</v>
      </c>
      <c r="C919" s="9">
        <v>364.01</v>
      </c>
      <c r="D919">
        <v>954</v>
      </c>
      <c r="E919" s="8">
        <v>2.620807120683498</v>
      </c>
      <c r="F919" s="7">
        <v>0.38156184486373163</v>
      </c>
      <c r="G919">
        <v>2018</v>
      </c>
    </row>
    <row r="920" spans="1:7" x14ac:dyDescent="0.25">
      <c r="A920" t="s">
        <v>13</v>
      </c>
      <c r="B920" s="3">
        <v>43160</v>
      </c>
      <c r="C920" s="9">
        <v>360.43</v>
      </c>
      <c r="D920">
        <v>954</v>
      </c>
      <c r="E920" s="8">
        <v>2.6468384984601725</v>
      </c>
      <c r="F920" s="7">
        <v>0.37780922431865827</v>
      </c>
      <c r="G920">
        <v>2018</v>
      </c>
    </row>
    <row r="921" spans="1:7" x14ac:dyDescent="0.25">
      <c r="A921" t="s">
        <v>13</v>
      </c>
      <c r="B921" s="3">
        <v>43191</v>
      </c>
      <c r="C921" s="9">
        <v>365.81</v>
      </c>
      <c r="D921">
        <v>954</v>
      </c>
      <c r="E921" s="8">
        <v>2.6079112107378148</v>
      </c>
      <c r="F921" s="7">
        <v>0.38344863731656187</v>
      </c>
      <c r="G921">
        <v>2018</v>
      </c>
    </row>
    <row r="922" spans="1:7" x14ac:dyDescent="0.25">
      <c r="A922" t="s">
        <v>13</v>
      </c>
      <c r="B922" s="3">
        <v>43221</v>
      </c>
      <c r="C922" s="9">
        <v>366.65</v>
      </c>
      <c r="D922">
        <v>954</v>
      </c>
      <c r="E922" s="8">
        <v>2.6019364516568935</v>
      </c>
      <c r="F922" s="7">
        <v>0.38432914046121591</v>
      </c>
      <c r="G922">
        <v>2018</v>
      </c>
    </row>
    <row r="923" spans="1:7" x14ac:dyDescent="0.25">
      <c r="A923" t="s">
        <v>13</v>
      </c>
      <c r="B923" s="3">
        <v>43252</v>
      </c>
      <c r="C923" s="9">
        <v>365.81</v>
      </c>
      <c r="D923">
        <v>954</v>
      </c>
      <c r="E923" s="8">
        <v>2.6079112107378148</v>
      </c>
      <c r="F923" s="7">
        <v>0.38344863731656187</v>
      </c>
      <c r="G923">
        <v>2018</v>
      </c>
    </row>
    <row r="924" spans="1:7" x14ac:dyDescent="0.25">
      <c r="A924" t="s">
        <v>13</v>
      </c>
      <c r="B924" s="3">
        <v>43282</v>
      </c>
      <c r="C924" s="9">
        <v>366.38</v>
      </c>
      <c r="D924">
        <v>954</v>
      </c>
      <c r="E924" s="8">
        <v>2.6038539221573229</v>
      </c>
      <c r="F924" s="7">
        <v>0.38404612159329138</v>
      </c>
      <c r="G924">
        <v>2018</v>
      </c>
    </row>
    <row r="925" spans="1:7" x14ac:dyDescent="0.25">
      <c r="A925" t="s">
        <v>13</v>
      </c>
      <c r="B925" s="3">
        <v>43313</v>
      </c>
      <c r="C925" s="9">
        <v>362.47</v>
      </c>
      <c r="D925">
        <v>954</v>
      </c>
      <c r="E925" s="8">
        <v>2.6319419538168676</v>
      </c>
      <c r="F925" s="7">
        <v>0.37994758909853255</v>
      </c>
      <c r="G925">
        <v>2018</v>
      </c>
    </row>
    <row r="926" spans="1:7" x14ac:dyDescent="0.25">
      <c r="A926" t="s">
        <v>13</v>
      </c>
      <c r="B926" s="3">
        <v>43344</v>
      </c>
      <c r="C926" s="9">
        <v>354.11</v>
      </c>
      <c r="D926">
        <v>954</v>
      </c>
      <c r="E926" s="8">
        <v>2.6940781113213408</v>
      </c>
      <c r="F926" s="7">
        <v>0.37118448637316565</v>
      </c>
      <c r="G926">
        <v>2018</v>
      </c>
    </row>
    <row r="927" spans="1:7" x14ac:dyDescent="0.25">
      <c r="A927" t="s">
        <v>13</v>
      </c>
      <c r="B927" s="3">
        <v>43374</v>
      </c>
      <c r="C927" s="9">
        <v>357.72</v>
      </c>
      <c r="D927">
        <v>954</v>
      </c>
      <c r="E927" s="8">
        <v>2.6668903052666888</v>
      </c>
      <c r="F927" s="7">
        <v>0.3749685534591195</v>
      </c>
      <c r="G927">
        <v>2018</v>
      </c>
    </row>
    <row r="928" spans="1:7" x14ac:dyDescent="0.25">
      <c r="A928" t="s">
        <v>13</v>
      </c>
      <c r="B928" s="3">
        <v>43405</v>
      </c>
      <c r="C928" s="9">
        <v>368.06</v>
      </c>
      <c r="D928">
        <v>954</v>
      </c>
      <c r="E928" s="8">
        <v>2.5919687007553116</v>
      </c>
      <c r="F928" s="7">
        <v>0.38580712788259958</v>
      </c>
      <c r="G928">
        <v>2018</v>
      </c>
    </row>
    <row r="929" spans="1:7" x14ac:dyDescent="0.25">
      <c r="A929" t="s">
        <v>13</v>
      </c>
      <c r="B929" s="3">
        <v>43435</v>
      </c>
      <c r="C929" s="9">
        <v>388.86</v>
      </c>
      <c r="D929">
        <v>954</v>
      </c>
      <c r="E929" s="8">
        <v>2.4533251041505939</v>
      </c>
      <c r="F929" s="7">
        <v>0.40761006289308177</v>
      </c>
      <c r="G929">
        <v>2018</v>
      </c>
    </row>
    <row r="930" spans="1:7" x14ac:dyDescent="0.25">
      <c r="A930" t="s">
        <v>13</v>
      </c>
      <c r="B930" s="3">
        <v>43466</v>
      </c>
      <c r="C930" s="9">
        <v>398.23</v>
      </c>
      <c r="D930">
        <v>998</v>
      </c>
      <c r="E930" s="8">
        <v>2.5060894457976546</v>
      </c>
      <c r="F930" s="7">
        <v>0.39902805611222447</v>
      </c>
      <c r="G930">
        <v>2019</v>
      </c>
    </row>
    <row r="931" spans="1:7" x14ac:dyDescent="0.25">
      <c r="A931" t="s">
        <v>13</v>
      </c>
      <c r="B931" s="3">
        <v>43497</v>
      </c>
      <c r="C931" s="9">
        <v>416.4</v>
      </c>
      <c r="D931">
        <v>998</v>
      </c>
      <c r="E931" s="8">
        <v>2.3967339097022093</v>
      </c>
      <c r="F931" s="7">
        <v>0.41723446893787575</v>
      </c>
      <c r="G931">
        <v>2019</v>
      </c>
    </row>
    <row r="932" spans="1:7" x14ac:dyDescent="0.25">
      <c r="A932" t="s">
        <v>13</v>
      </c>
      <c r="B932" s="3">
        <v>43525</v>
      </c>
      <c r="C932" s="9">
        <v>433.43</v>
      </c>
      <c r="D932">
        <v>998</v>
      </c>
      <c r="E932" s="8">
        <v>2.3025632743464919</v>
      </c>
      <c r="F932" s="7">
        <v>0.43429859719438879</v>
      </c>
      <c r="G932">
        <v>2019</v>
      </c>
    </row>
    <row r="933" spans="1:7" x14ac:dyDescent="0.25">
      <c r="A933" t="s">
        <v>13</v>
      </c>
      <c r="B933" s="3">
        <v>43556</v>
      </c>
      <c r="C933" s="9">
        <v>445.28</v>
      </c>
      <c r="D933">
        <v>998</v>
      </c>
      <c r="E933" s="8">
        <v>2.2412863816025874</v>
      </c>
      <c r="F933" s="7">
        <v>0.44617234468937872</v>
      </c>
      <c r="G933">
        <v>2019</v>
      </c>
    </row>
    <row r="934" spans="1:7" x14ac:dyDescent="0.25">
      <c r="A934" t="s">
        <v>13</v>
      </c>
      <c r="B934" s="3">
        <v>43586</v>
      </c>
      <c r="C934" s="9">
        <v>425.35</v>
      </c>
      <c r="D934">
        <v>998</v>
      </c>
      <c r="E934" s="8">
        <v>2.3463030445515458</v>
      </c>
      <c r="F934" s="7">
        <v>0.42620240480961924</v>
      </c>
      <c r="G934">
        <v>2019</v>
      </c>
    </row>
    <row r="935" spans="1:7" x14ac:dyDescent="0.25">
      <c r="A935" t="s">
        <v>13</v>
      </c>
      <c r="B935" s="3">
        <v>43617</v>
      </c>
      <c r="C935" s="9">
        <v>421.65</v>
      </c>
      <c r="D935">
        <v>998</v>
      </c>
      <c r="E935" s="8">
        <v>2.3668919720147041</v>
      </c>
      <c r="F935" s="7">
        <v>0.42249498997995988</v>
      </c>
      <c r="G935">
        <v>2019</v>
      </c>
    </row>
    <row r="936" spans="1:7" x14ac:dyDescent="0.25">
      <c r="A936" t="s">
        <v>13</v>
      </c>
      <c r="B936" s="3">
        <v>43647</v>
      </c>
      <c r="C936" s="9">
        <v>420.55</v>
      </c>
      <c r="D936">
        <v>998</v>
      </c>
      <c r="E936" s="8">
        <v>2.3730828676732849</v>
      </c>
      <c r="F936" s="7">
        <v>0.42139278557114229</v>
      </c>
      <c r="G936">
        <v>2019</v>
      </c>
    </row>
    <row r="937" spans="1:7" x14ac:dyDescent="0.25">
      <c r="A937" t="s">
        <v>13</v>
      </c>
      <c r="B937" s="3">
        <v>43678</v>
      </c>
      <c r="C937" s="9">
        <v>399.4</v>
      </c>
      <c r="D937">
        <v>998</v>
      </c>
      <c r="E937" s="8">
        <v>2.498748122183275</v>
      </c>
      <c r="F937" s="7">
        <v>0.40020040080160318</v>
      </c>
      <c r="G937">
        <v>2019</v>
      </c>
    </row>
    <row r="938" spans="1:7" x14ac:dyDescent="0.25">
      <c r="A938" t="s">
        <v>13</v>
      </c>
      <c r="B938" s="3">
        <v>43709</v>
      </c>
      <c r="C938" s="9">
        <v>391.31</v>
      </c>
      <c r="D938">
        <v>998</v>
      </c>
      <c r="E938" s="8">
        <v>2.5504076052234801</v>
      </c>
      <c r="F938" s="7">
        <v>0.39209418837675353</v>
      </c>
      <c r="G938">
        <v>2019</v>
      </c>
    </row>
    <row r="939" spans="1:7" x14ac:dyDescent="0.25">
      <c r="A939" t="s">
        <v>13</v>
      </c>
      <c r="B939" s="3">
        <v>43739</v>
      </c>
      <c r="C939" s="9">
        <v>395.7</v>
      </c>
      <c r="D939">
        <v>998</v>
      </c>
      <c r="E939" s="8">
        <v>2.52211271165024</v>
      </c>
      <c r="F939" s="7">
        <v>0.39649298597194388</v>
      </c>
      <c r="G939">
        <v>2019</v>
      </c>
    </row>
    <row r="940" spans="1:7" x14ac:dyDescent="0.25">
      <c r="A940" t="s">
        <v>13</v>
      </c>
      <c r="B940" s="3">
        <v>43770</v>
      </c>
      <c r="C940" s="9">
        <v>400.16</v>
      </c>
      <c r="D940">
        <v>998</v>
      </c>
      <c r="E940" s="8">
        <v>2.4940023990403839</v>
      </c>
      <c r="F940" s="7">
        <v>0.40096192384769541</v>
      </c>
      <c r="G940">
        <v>2019</v>
      </c>
    </row>
    <row r="941" spans="1:7" x14ac:dyDescent="0.25">
      <c r="A941" t="s">
        <v>13</v>
      </c>
      <c r="B941" s="3">
        <v>43800</v>
      </c>
      <c r="C941" s="9">
        <v>454.75</v>
      </c>
      <c r="D941">
        <v>998</v>
      </c>
      <c r="E941" s="8">
        <v>2.1946124244090162</v>
      </c>
      <c r="F941" s="7">
        <v>0.45566132264529058</v>
      </c>
      <c r="G941">
        <v>2019</v>
      </c>
    </row>
    <row r="942" spans="1:7" x14ac:dyDescent="0.25">
      <c r="A942" t="s">
        <v>13</v>
      </c>
      <c r="B942" s="3">
        <v>43831</v>
      </c>
      <c r="C942" s="9">
        <v>455.08</v>
      </c>
      <c r="D942">
        <v>1039</v>
      </c>
      <c r="E942" s="8">
        <v>2.2831150566933287</v>
      </c>
      <c r="F942" s="7">
        <v>0.4379980750721848</v>
      </c>
      <c r="G942">
        <v>2020</v>
      </c>
    </row>
    <row r="943" spans="1:7" x14ac:dyDescent="0.25">
      <c r="A943" t="s">
        <v>13</v>
      </c>
      <c r="B943" s="3">
        <v>43862</v>
      </c>
      <c r="C943" s="9">
        <v>448.62</v>
      </c>
      <c r="D943">
        <v>1045</v>
      </c>
      <c r="E943" s="8">
        <v>2.3293656100931748</v>
      </c>
      <c r="F943" s="7">
        <v>0.42930143540669857</v>
      </c>
      <c r="G943">
        <v>2020</v>
      </c>
    </row>
    <row r="944" spans="1:7" x14ac:dyDescent="0.25">
      <c r="A944" t="s">
        <v>13</v>
      </c>
      <c r="B944" s="3">
        <v>43891</v>
      </c>
      <c r="C944" s="9">
        <v>456.18</v>
      </c>
      <c r="D944">
        <v>1045</v>
      </c>
      <c r="E944" s="8">
        <v>2.2907624183436361</v>
      </c>
      <c r="F944" s="7">
        <v>0.43653588516746411</v>
      </c>
      <c r="G944">
        <v>2020</v>
      </c>
    </row>
    <row r="945" spans="1:7" x14ac:dyDescent="0.25">
      <c r="A945" t="s">
        <v>13</v>
      </c>
      <c r="B945" s="3">
        <v>43922</v>
      </c>
      <c r="C945" s="9">
        <v>493.21</v>
      </c>
      <c r="D945">
        <v>1045</v>
      </c>
      <c r="E945" s="8">
        <v>2.1187729364773626</v>
      </c>
      <c r="F945" s="7">
        <v>0.47197129186602871</v>
      </c>
      <c r="G945">
        <v>2020</v>
      </c>
    </row>
    <row r="946" spans="1:7" x14ac:dyDescent="0.25">
      <c r="A946" t="s">
        <v>13</v>
      </c>
      <c r="B946" s="3">
        <v>43952</v>
      </c>
      <c r="C946" s="9">
        <v>505.99</v>
      </c>
      <c r="D946">
        <v>1045</v>
      </c>
      <c r="E946" s="8">
        <v>2.0652582066839265</v>
      </c>
      <c r="F946" s="7">
        <v>0.48420095693779908</v>
      </c>
      <c r="G946">
        <v>2020</v>
      </c>
    </row>
    <row r="947" spans="1:7" x14ac:dyDescent="0.25">
      <c r="A947" t="s">
        <v>13</v>
      </c>
      <c r="B947" s="3">
        <v>43983</v>
      </c>
      <c r="C947" s="9">
        <v>480.78</v>
      </c>
      <c r="D947">
        <v>1045</v>
      </c>
      <c r="E947" s="8">
        <v>2.1735513124506012</v>
      </c>
      <c r="F947" s="7">
        <v>0.46007655502392342</v>
      </c>
      <c r="G947">
        <v>2020</v>
      </c>
    </row>
    <row r="948" spans="1:7" x14ac:dyDescent="0.25">
      <c r="A948" t="s">
        <v>13</v>
      </c>
      <c r="B948" s="3">
        <v>44013</v>
      </c>
      <c r="C948" s="9">
        <v>472.86</v>
      </c>
      <c r="D948">
        <v>1045</v>
      </c>
      <c r="E948" s="8">
        <v>2.2099564353085479</v>
      </c>
      <c r="F948" s="7">
        <v>0.4524976076555024</v>
      </c>
      <c r="G948">
        <v>2020</v>
      </c>
    </row>
    <row r="949" spans="1:7" x14ac:dyDescent="0.25">
      <c r="A949" t="s">
        <v>13</v>
      </c>
      <c r="B949" s="3">
        <v>44044</v>
      </c>
      <c r="C949" s="9">
        <v>483.15</v>
      </c>
      <c r="D949">
        <v>1045</v>
      </c>
      <c r="E949" s="8">
        <v>2.1628893718306945</v>
      </c>
      <c r="F949" s="7">
        <v>0.4623444976076555</v>
      </c>
      <c r="G949">
        <v>2020</v>
      </c>
    </row>
    <row r="950" spans="1:7" x14ac:dyDescent="0.25">
      <c r="A950" t="s">
        <v>13</v>
      </c>
      <c r="B950" s="3">
        <v>44075</v>
      </c>
      <c r="C950" s="9">
        <v>510.52</v>
      </c>
      <c r="D950">
        <v>1045</v>
      </c>
      <c r="E950" s="8">
        <v>2.0469325393716211</v>
      </c>
      <c r="F950" s="7">
        <v>0.4885358851674641</v>
      </c>
      <c r="G950">
        <v>2020</v>
      </c>
    </row>
    <row r="951" spans="1:7" x14ac:dyDescent="0.25">
      <c r="A951" t="s">
        <v>13</v>
      </c>
      <c r="B951" s="3">
        <v>44105</v>
      </c>
      <c r="C951" s="9">
        <v>537.61</v>
      </c>
      <c r="D951">
        <v>1045</v>
      </c>
      <c r="E951" s="8">
        <v>1.9437882479864586</v>
      </c>
      <c r="F951" s="7">
        <v>0.51445933014354073</v>
      </c>
      <c r="G951">
        <v>2020</v>
      </c>
    </row>
    <row r="952" spans="1:7" x14ac:dyDescent="0.25">
      <c r="A952" t="s">
        <v>13</v>
      </c>
      <c r="B952" s="3">
        <v>44136</v>
      </c>
      <c r="C952" s="9">
        <v>557.46</v>
      </c>
      <c r="D952">
        <v>1045</v>
      </c>
      <c r="E952" s="8">
        <v>1.874573960463531</v>
      </c>
      <c r="F952" s="7">
        <v>0.53345454545454551</v>
      </c>
      <c r="G952">
        <v>2020</v>
      </c>
    </row>
    <row r="953" spans="1:7" x14ac:dyDescent="0.25">
      <c r="A953" t="s">
        <v>13</v>
      </c>
      <c r="B953" s="3">
        <v>44166</v>
      </c>
      <c r="C953" s="9">
        <v>563.79999999999995</v>
      </c>
      <c r="D953">
        <v>1045</v>
      </c>
      <c r="E953" s="8">
        <v>1.853494146860589</v>
      </c>
      <c r="F953" s="7">
        <v>0.5395215311004784</v>
      </c>
      <c r="G953">
        <v>2020</v>
      </c>
    </row>
    <row r="954" spans="1:7" x14ac:dyDescent="0.25">
      <c r="A954" t="s">
        <v>13</v>
      </c>
      <c r="B954" s="3">
        <v>44197</v>
      </c>
      <c r="C954" s="9">
        <v>574.76</v>
      </c>
      <c r="D954">
        <v>1100</v>
      </c>
      <c r="E954" s="8">
        <v>1.9138422993945299</v>
      </c>
      <c r="F954" s="7">
        <v>0.52250909090909092</v>
      </c>
      <c r="G954">
        <v>2021</v>
      </c>
    </row>
    <row r="955" spans="1:7" x14ac:dyDescent="0.25">
      <c r="A955" t="s">
        <v>13</v>
      </c>
      <c r="B955" s="3">
        <v>44228</v>
      </c>
      <c r="C955" s="9">
        <v>560.66999999999996</v>
      </c>
      <c r="D955">
        <v>1100</v>
      </c>
      <c r="E955" s="8">
        <v>1.9619383951343929</v>
      </c>
      <c r="F955" s="7">
        <v>0.50969999999999993</v>
      </c>
      <c r="G955">
        <v>2021</v>
      </c>
    </row>
    <row r="956" spans="1:7" x14ac:dyDescent="0.25">
      <c r="A956" t="s">
        <v>13</v>
      </c>
      <c r="B956" s="3">
        <v>44256</v>
      </c>
      <c r="C956" s="9">
        <v>552.04999999999995</v>
      </c>
      <c r="D956">
        <v>1100</v>
      </c>
      <c r="E956" s="8">
        <v>1.99257313649126</v>
      </c>
      <c r="F956" s="7">
        <v>0.50186363636363629</v>
      </c>
      <c r="G956">
        <v>2021</v>
      </c>
    </row>
    <row r="957" spans="1:7" x14ac:dyDescent="0.25">
      <c r="A957" t="s">
        <v>13</v>
      </c>
      <c r="B957" s="3">
        <v>44287</v>
      </c>
      <c r="C957" s="9">
        <v>556.27</v>
      </c>
      <c r="D957">
        <v>1100</v>
      </c>
      <c r="E957" s="8">
        <v>1.9774569903104608</v>
      </c>
      <c r="F957" s="7">
        <v>0.50570000000000004</v>
      </c>
      <c r="G957">
        <v>2021</v>
      </c>
    </row>
    <row r="958" spans="1:7" x14ac:dyDescent="0.25">
      <c r="A958" t="s">
        <v>13</v>
      </c>
      <c r="B958" s="3">
        <v>44317</v>
      </c>
      <c r="C958" s="9">
        <v>564.04</v>
      </c>
      <c r="D958">
        <v>1100</v>
      </c>
      <c r="E958" s="8">
        <v>1.9502162967165451</v>
      </c>
      <c r="F958" s="7">
        <v>0.51276363636363631</v>
      </c>
      <c r="G958">
        <v>2021</v>
      </c>
    </row>
    <row r="959" spans="1:7" x14ac:dyDescent="0.25">
      <c r="A959" t="s">
        <v>13</v>
      </c>
      <c r="B959" s="3">
        <v>44348</v>
      </c>
      <c r="C959" s="9">
        <v>551.49</v>
      </c>
      <c r="D959">
        <v>1100</v>
      </c>
      <c r="E959" s="8">
        <v>1.9945964568713848</v>
      </c>
      <c r="F959" s="7">
        <v>0.5013545454545455</v>
      </c>
      <c r="G959">
        <v>2021</v>
      </c>
    </row>
    <row r="960" spans="1:7" x14ac:dyDescent="0.25">
      <c r="A960" t="s">
        <v>13</v>
      </c>
      <c r="B960" s="3">
        <v>44378</v>
      </c>
      <c r="C960" s="9">
        <v>562.13</v>
      </c>
      <c r="D960">
        <v>1100</v>
      </c>
      <c r="E960" s="8">
        <v>1.9568427232134915</v>
      </c>
      <c r="F960" s="7">
        <v>0.51102727272727277</v>
      </c>
      <c r="G960">
        <v>2021</v>
      </c>
    </row>
    <row r="961" spans="1:7" x14ac:dyDescent="0.25">
      <c r="A961" t="s">
        <v>13</v>
      </c>
      <c r="B961" s="3">
        <v>44409</v>
      </c>
      <c r="C961" s="9">
        <v>565.4</v>
      </c>
      <c r="D961">
        <v>1100</v>
      </c>
      <c r="E961" s="8">
        <v>1.9455252918287937</v>
      </c>
      <c r="F961" s="7">
        <v>0.51400000000000001</v>
      </c>
      <c r="G961">
        <v>2021</v>
      </c>
    </row>
    <row r="962" spans="1:7" x14ac:dyDescent="0.25">
      <c r="A962" t="s">
        <v>13</v>
      </c>
      <c r="B962" s="3">
        <v>44440</v>
      </c>
      <c r="C962" s="9">
        <v>574.08000000000004</v>
      </c>
      <c r="D962">
        <v>1100</v>
      </c>
      <c r="E962" s="8">
        <v>1.9161092530657746</v>
      </c>
      <c r="F962" s="7">
        <v>0.52189090909090918</v>
      </c>
      <c r="G962">
        <v>2021</v>
      </c>
    </row>
    <row r="963" spans="1:7" x14ac:dyDescent="0.25">
      <c r="A963" t="s">
        <v>13</v>
      </c>
      <c r="B963" s="3">
        <v>44470</v>
      </c>
      <c r="C963" s="9">
        <v>591.78</v>
      </c>
      <c r="D963">
        <v>1100</v>
      </c>
      <c r="E963" s="8">
        <v>1.8587988779614046</v>
      </c>
      <c r="F963" s="7">
        <v>0.53798181818181812</v>
      </c>
      <c r="G963">
        <v>2021</v>
      </c>
    </row>
    <row r="964" spans="1:7" x14ac:dyDescent="0.25">
      <c r="A964" t="s">
        <v>13</v>
      </c>
      <c r="B964" s="3">
        <v>44501</v>
      </c>
      <c r="C964" s="9">
        <v>599.64</v>
      </c>
      <c r="D964">
        <v>1100</v>
      </c>
      <c r="E964" s="8">
        <v>1.8344339937295711</v>
      </c>
      <c r="F964" s="7">
        <v>0.54512727272727268</v>
      </c>
      <c r="G964">
        <v>2021</v>
      </c>
    </row>
    <row r="965" spans="1:7" x14ac:dyDescent="0.25">
      <c r="A965" t="s">
        <v>13</v>
      </c>
      <c r="B965" s="3">
        <v>44531</v>
      </c>
      <c r="C965" s="9">
        <v>597.24</v>
      </c>
      <c r="D965">
        <v>1100</v>
      </c>
      <c r="E965" s="8">
        <v>1.8418056392739937</v>
      </c>
      <c r="F965" s="7">
        <v>0.54294545454545451</v>
      </c>
      <c r="G965">
        <v>2021</v>
      </c>
    </row>
    <row r="966" spans="1:7" x14ac:dyDescent="0.25">
      <c r="A966" t="s">
        <v>13</v>
      </c>
      <c r="B966" s="3">
        <v>44562</v>
      </c>
      <c r="C966" s="9">
        <v>624.91</v>
      </c>
      <c r="D966">
        <v>1212</v>
      </c>
      <c r="E966" s="8">
        <v>1.9394792850170426</v>
      </c>
      <c r="F966" s="7">
        <v>0.5156023102310231</v>
      </c>
      <c r="G966">
        <v>2022</v>
      </c>
    </row>
    <row r="967" spans="1:7" x14ac:dyDescent="0.25">
      <c r="A967" t="s">
        <v>13</v>
      </c>
      <c r="B967" s="3">
        <v>44593</v>
      </c>
      <c r="C967" s="9">
        <v>641.09</v>
      </c>
      <c r="D967">
        <v>1212</v>
      </c>
      <c r="E967" s="8">
        <v>1.8905301907688468</v>
      </c>
      <c r="F967" s="7">
        <v>0.5289521452145215</v>
      </c>
      <c r="G967">
        <v>2022</v>
      </c>
    </row>
    <row r="968" spans="1:7" x14ac:dyDescent="0.25">
      <c r="A968" t="s">
        <v>13</v>
      </c>
      <c r="B968" s="3">
        <v>44621</v>
      </c>
      <c r="C968" s="9">
        <v>663.48</v>
      </c>
      <c r="D968">
        <v>1212</v>
      </c>
      <c r="E968" s="8">
        <v>1.8267317778983541</v>
      </c>
      <c r="F968" s="7">
        <v>0.54742574257425747</v>
      </c>
      <c r="G968">
        <v>2022</v>
      </c>
    </row>
    <row r="969" spans="1:7" x14ac:dyDescent="0.25">
      <c r="A969" t="s">
        <v>13</v>
      </c>
      <c r="B969" s="3">
        <v>44652</v>
      </c>
      <c r="C969" s="9">
        <v>682.87</v>
      </c>
      <c r="D969">
        <v>1212</v>
      </c>
      <c r="E969" s="8">
        <v>1.7748619795861584</v>
      </c>
      <c r="F969" s="7">
        <v>0.56342409240924096</v>
      </c>
      <c r="G969">
        <v>2022</v>
      </c>
    </row>
    <row r="970" spans="1:7" x14ac:dyDescent="0.25">
      <c r="A970" t="s">
        <v>13</v>
      </c>
      <c r="B970" s="3">
        <v>44682</v>
      </c>
      <c r="C970" s="9">
        <v>674.63</v>
      </c>
      <c r="D970">
        <v>1212</v>
      </c>
      <c r="E970" s="8">
        <v>1.7965403258082209</v>
      </c>
      <c r="F970" s="7">
        <v>0.55662541254125408</v>
      </c>
      <c r="G970">
        <v>2022</v>
      </c>
    </row>
    <row r="971" spans="1:7" x14ac:dyDescent="0.25">
      <c r="A971" t="s">
        <v>13</v>
      </c>
      <c r="B971" s="3">
        <v>44713</v>
      </c>
      <c r="C971" s="9">
        <v>674.08</v>
      </c>
      <c r="D971">
        <v>1212</v>
      </c>
      <c r="E971" s="8">
        <v>1.7980061713743174</v>
      </c>
      <c r="F971" s="7">
        <v>0.55617161716171626</v>
      </c>
      <c r="G971">
        <v>2022</v>
      </c>
    </row>
    <row r="972" spans="1:7" x14ac:dyDescent="0.25">
      <c r="A972" t="s">
        <v>13</v>
      </c>
      <c r="B972" s="3">
        <v>44743</v>
      </c>
      <c r="C972" s="9">
        <v>672.91</v>
      </c>
      <c r="D972">
        <v>1212</v>
      </c>
      <c r="E972" s="8">
        <v>1.801132395119704</v>
      </c>
      <c r="F972" s="7">
        <v>0.55520627062706263</v>
      </c>
      <c r="G972">
        <v>2022</v>
      </c>
    </row>
    <row r="973" spans="1:7" x14ac:dyDescent="0.25">
      <c r="A973" t="s">
        <v>13</v>
      </c>
      <c r="B973" s="3">
        <v>44774</v>
      </c>
      <c r="C973" s="9">
        <v>660.83</v>
      </c>
      <c r="D973">
        <v>1212</v>
      </c>
      <c r="E973" s="8">
        <v>1.8340571705279722</v>
      </c>
      <c r="F973" s="7">
        <v>0.5452392739273928</v>
      </c>
      <c r="G973">
        <v>2022</v>
      </c>
    </row>
    <row r="974" spans="1:7" x14ac:dyDescent="0.25">
      <c r="A974" t="s">
        <v>13</v>
      </c>
      <c r="B974" s="3">
        <v>44805</v>
      </c>
      <c r="C974" s="9">
        <v>658.7</v>
      </c>
      <c r="D974">
        <v>1212</v>
      </c>
      <c r="E974" s="8">
        <v>1.8399878548656443</v>
      </c>
      <c r="F974" s="7">
        <v>0.54348184818481848</v>
      </c>
      <c r="G974">
        <v>2022</v>
      </c>
    </row>
    <row r="975" spans="1:7" x14ac:dyDescent="0.25">
      <c r="A975" t="s">
        <v>13</v>
      </c>
      <c r="B975" s="3">
        <v>44835</v>
      </c>
      <c r="C975" s="9">
        <v>675.79</v>
      </c>
      <c r="D975">
        <v>1212</v>
      </c>
      <c r="E975" s="8">
        <v>1.7934565471522219</v>
      </c>
      <c r="F975" s="7">
        <v>0.557582508250825</v>
      </c>
      <c r="G975">
        <v>2022</v>
      </c>
    </row>
    <row r="976" spans="1:7" x14ac:dyDescent="0.25">
      <c r="A976" t="s">
        <v>13</v>
      </c>
      <c r="B976" s="3">
        <v>44866</v>
      </c>
      <c r="C976" s="9">
        <v>689.49</v>
      </c>
      <c r="D976">
        <v>1212</v>
      </c>
      <c r="E976" s="8">
        <v>1.7578209981290518</v>
      </c>
      <c r="F976" s="7">
        <v>0.56888613861386139</v>
      </c>
      <c r="G976">
        <v>2022</v>
      </c>
    </row>
    <row r="977" spans="1:7" x14ac:dyDescent="0.25">
      <c r="A977" t="s">
        <v>13</v>
      </c>
      <c r="B977" s="3">
        <v>44896</v>
      </c>
      <c r="C977" s="9">
        <v>704.63</v>
      </c>
      <c r="D977">
        <v>1212</v>
      </c>
      <c r="E977" s="8">
        <v>1.720051658317131</v>
      </c>
      <c r="F977" s="7">
        <v>0.58137788778877886</v>
      </c>
      <c r="G977">
        <v>2022</v>
      </c>
    </row>
    <row r="978" spans="1:7" x14ac:dyDescent="0.25">
      <c r="A978" t="s">
        <v>13</v>
      </c>
      <c r="B978" s="3">
        <v>44927</v>
      </c>
      <c r="C978" s="9">
        <v>710.62</v>
      </c>
      <c r="D978">
        <v>1302</v>
      </c>
      <c r="E978" s="8">
        <v>1.8322028651037123</v>
      </c>
      <c r="F978" s="7">
        <v>0.54579109062980036</v>
      </c>
      <c r="G978">
        <v>2023</v>
      </c>
    </row>
    <row r="979" spans="1:7" x14ac:dyDescent="0.25">
      <c r="A979" t="s">
        <v>13</v>
      </c>
      <c r="B979" s="3">
        <v>44958</v>
      </c>
      <c r="C979" s="9">
        <v>695.18</v>
      </c>
      <c r="D979">
        <v>1302</v>
      </c>
      <c r="E979" s="8">
        <v>1.8728962283149688</v>
      </c>
      <c r="F979" s="7">
        <v>0.53393241167434713</v>
      </c>
      <c r="G979">
        <v>2023</v>
      </c>
    </row>
    <row r="980" spans="1:7" x14ac:dyDescent="0.25">
      <c r="A980" t="s">
        <v>13</v>
      </c>
      <c r="B980" s="3">
        <v>44986</v>
      </c>
      <c r="C980" s="9">
        <v>680.92</v>
      </c>
      <c r="D980">
        <v>1302</v>
      </c>
      <c r="E980" s="8">
        <v>1.9121188979615815</v>
      </c>
      <c r="F980" s="7">
        <v>0.52298003072196619</v>
      </c>
      <c r="G980">
        <v>2023</v>
      </c>
    </row>
    <row r="981" spans="1:7" x14ac:dyDescent="0.25">
      <c r="A981" t="s">
        <v>13</v>
      </c>
      <c r="B981" s="3">
        <v>45017</v>
      </c>
      <c r="C981" s="9">
        <v>704.94</v>
      </c>
      <c r="D981">
        <v>1302</v>
      </c>
      <c r="E981" s="8">
        <v>1.8469656992084431</v>
      </c>
      <c r="F981" s="7">
        <v>0.54142857142857148</v>
      </c>
      <c r="G981">
        <v>2023</v>
      </c>
    </row>
    <row r="982" spans="1:7" x14ac:dyDescent="0.25">
      <c r="A982" t="s">
        <v>13</v>
      </c>
      <c r="B982" s="3">
        <v>45047</v>
      </c>
      <c r="C982" s="9">
        <v>704.89</v>
      </c>
      <c r="D982">
        <v>1320</v>
      </c>
      <c r="E982" s="8">
        <v>1.8726326093433019</v>
      </c>
      <c r="F982" s="7">
        <v>0.53400757575757574</v>
      </c>
      <c r="G982">
        <v>2023</v>
      </c>
    </row>
    <row r="983" spans="1:7" x14ac:dyDescent="0.25">
      <c r="A983" t="s">
        <v>13</v>
      </c>
      <c r="B983" s="3">
        <v>45078</v>
      </c>
      <c r="C983" s="9">
        <v>669.39</v>
      </c>
      <c r="D983">
        <v>1320</v>
      </c>
      <c r="E983" s="8">
        <v>1.9719446062833326</v>
      </c>
      <c r="F983" s="7">
        <v>0.50711363636363638</v>
      </c>
      <c r="G983">
        <v>2023</v>
      </c>
    </row>
    <row r="984" spans="1:7" x14ac:dyDescent="0.25">
      <c r="A984" t="s">
        <v>13</v>
      </c>
      <c r="B984" s="3">
        <v>45108</v>
      </c>
      <c r="C984" s="9">
        <v>657.71</v>
      </c>
      <c r="D984">
        <v>1320</v>
      </c>
      <c r="E984" s="8">
        <v>2.006963555366347</v>
      </c>
      <c r="F984" s="7">
        <v>0.49826515151515155</v>
      </c>
      <c r="G984">
        <v>2023</v>
      </c>
    </row>
    <row r="985" spans="1:7" x14ac:dyDescent="0.25">
      <c r="A985" t="s">
        <v>13</v>
      </c>
      <c r="B985" s="3">
        <v>45139</v>
      </c>
      <c r="C985" s="9">
        <v>641.53</v>
      </c>
      <c r="D985">
        <v>1320</v>
      </c>
      <c r="E985" s="8">
        <v>2.0575810951943012</v>
      </c>
      <c r="F985" s="7">
        <v>0.48600757575757575</v>
      </c>
      <c r="G985">
        <v>2023</v>
      </c>
    </row>
    <row r="986" spans="1:7" x14ac:dyDescent="0.25">
      <c r="A986" t="s">
        <v>13</v>
      </c>
      <c r="B986" s="3">
        <v>45170</v>
      </c>
      <c r="C986" s="9">
        <v>630.95000000000005</v>
      </c>
      <c r="D986">
        <v>1320</v>
      </c>
      <c r="E986" s="8">
        <v>2.0920833663523255</v>
      </c>
      <c r="F986" s="7">
        <v>0.47799242424242427</v>
      </c>
      <c r="G986">
        <v>2023</v>
      </c>
    </row>
    <row r="987" spans="1:7" x14ac:dyDescent="0.25">
      <c r="A987" t="s">
        <v>13</v>
      </c>
      <c r="B987" s="3">
        <v>45200</v>
      </c>
      <c r="C987" s="9">
        <v>636.07000000000005</v>
      </c>
      <c r="D987">
        <v>1320</v>
      </c>
      <c r="E987" s="8">
        <v>2.0752432908327698</v>
      </c>
      <c r="F987" s="7">
        <v>0.48187121212121214</v>
      </c>
      <c r="G987">
        <v>2023</v>
      </c>
    </row>
    <row r="988" spans="1:7" x14ac:dyDescent="0.25">
      <c r="A988" t="s">
        <v>13</v>
      </c>
      <c r="B988" s="3">
        <v>45231</v>
      </c>
      <c r="C988" s="9">
        <v>648.59</v>
      </c>
      <c r="D988">
        <v>1320</v>
      </c>
      <c r="E988" s="8">
        <v>2.0351840145546491</v>
      </c>
      <c r="F988" s="7">
        <v>0.49135606060606063</v>
      </c>
      <c r="G988">
        <v>2023</v>
      </c>
    </row>
    <row r="989" spans="1:7" x14ac:dyDescent="0.25">
      <c r="A989" t="s">
        <v>13</v>
      </c>
      <c r="B989" s="3">
        <v>45261</v>
      </c>
      <c r="C989" s="9">
        <v>669.36</v>
      </c>
      <c r="D989">
        <v>1320</v>
      </c>
      <c r="E989" s="8">
        <v>1.9720329867335962</v>
      </c>
      <c r="F989" s="7">
        <v>0.50709090909090915</v>
      </c>
      <c r="G989">
        <v>2023</v>
      </c>
    </row>
    <row r="990" spans="1:7" x14ac:dyDescent="0.25">
      <c r="A990" t="s">
        <v>13</v>
      </c>
      <c r="B990" s="3">
        <v>45292</v>
      </c>
      <c r="C990" s="9">
        <v>710.7</v>
      </c>
      <c r="D990">
        <v>1412</v>
      </c>
      <c r="E990" s="8">
        <v>1.9867736034895171</v>
      </c>
      <c r="F990" s="7">
        <v>0.50332861189801703</v>
      </c>
      <c r="G990">
        <v>2024</v>
      </c>
    </row>
    <row r="991" spans="1:7" x14ac:dyDescent="0.25">
      <c r="A991" t="s">
        <v>13</v>
      </c>
      <c r="B991" s="3">
        <v>45323</v>
      </c>
      <c r="C991" s="9">
        <v>707.81</v>
      </c>
      <c r="D991">
        <v>1412</v>
      </c>
      <c r="E991" s="8">
        <v>1.9948856331501392</v>
      </c>
      <c r="F991" s="7">
        <v>0.50128186968838528</v>
      </c>
      <c r="G991">
        <v>2024</v>
      </c>
    </row>
    <row r="992" spans="1:7" x14ac:dyDescent="0.25">
      <c r="A992" t="s">
        <v>13</v>
      </c>
      <c r="B992" s="3">
        <v>45352</v>
      </c>
      <c r="C992" s="9">
        <v>703.57</v>
      </c>
      <c r="D992">
        <v>1412</v>
      </c>
      <c r="E992" s="8">
        <v>2.0069076282388387</v>
      </c>
      <c r="F992" s="7">
        <v>0.49827903682719549</v>
      </c>
      <c r="G992">
        <v>2024</v>
      </c>
    </row>
    <row r="993" spans="1:7" x14ac:dyDescent="0.25">
      <c r="A993" t="s">
        <v>13</v>
      </c>
      <c r="B993" s="3">
        <v>45383</v>
      </c>
      <c r="C993" s="9">
        <v>701.01</v>
      </c>
      <c r="D993">
        <v>1412</v>
      </c>
      <c r="E993" s="8">
        <v>2.0142366014750146</v>
      </c>
      <c r="F993" s="7">
        <v>0.49646600566572235</v>
      </c>
      <c r="G993">
        <v>2024</v>
      </c>
    </row>
    <row r="994" spans="1:7" x14ac:dyDescent="0.25">
      <c r="A994" t="s">
        <v>13</v>
      </c>
      <c r="B994" s="3">
        <v>45413</v>
      </c>
      <c r="C994" s="9">
        <v>704.51</v>
      </c>
      <c r="D994">
        <v>1412</v>
      </c>
      <c r="E994" s="8">
        <v>2.0042298902783493</v>
      </c>
      <c r="F994" s="7">
        <v>0.49894475920679887</v>
      </c>
      <c r="G994">
        <v>2024</v>
      </c>
    </row>
    <row r="995" spans="1:7" x14ac:dyDescent="0.25">
      <c r="A995" t="s">
        <v>13</v>
      </c>
      <c r="B995" s="3">
        <v>45444</v>
      </c>
      <c r="C995" s="9">
        <v>711.43</v>
      </c>
      <c r="D995">
        <v>1412</v>
      </c>
      <c r="E995" s="8">
        <v>1.9847349704117061</v>
      </c>
      <c r="F995" s="7">
        <v>0.50384560906515574</v>
      </c>
      <c r="G995">
        <v>2024</v>
      </c>
    </row>
    <row r="996" spans="1:7" x14ac:dyDescent="0.25">
      <c r="A996" t="s">
        <v>13</v>
      </c>
      <c r="B996" s="3">
        <v>45474</v>
      </c>
      <c r="C996" s="9">
        <v>695.98</v>
      </c>
      <c r="D996">
        <v>1412</v>
      </c>
      <c r="E996" s="8">
        <v>2.0287939308600822</v>
      </c>
      <c r="F996" s="7">
        <v>0.49290368271954677</v>
      </c>
      <c r="G996">
        <v>2024</v>
      </c>
    </row>
    <row r="997" spans="1:7" x14ac:dyDescent="0.25">
      <c r="A997" t="s">
        <v>13</v>
      </c>
      <c r="B997" s="3">
        <v>45505</v>
      </c>
      <c r="C997" s="9">
        <v>667.87</v>
      </c>
      <c r="D997">
        <v>1412</v>
      </c>
      <c r="E997" s="8">
        <v>2.1141838980639944</v>
      </c>
      <c r="F997" s="7">
        <v>0.47299575070821531</v>
      </c>
      <c r="G997">
        <v>2024</v>
      </c>
    </row>
    <row r="998" spans="1:7" x14ac:dyDescent="0.25">
      <c r="A998" t="s">
        <v>13</v>
      </c>
      <c r="B998" s="3">
        <v>45536</v>
      </c>
      <c r="C998" s="9">
        <v>672.93</v>
      </c>
      <c r="D998">
        <v>1412</v>
      </c>
      <c r="E998" s="8">
        <v>2.0982865974172649</v>
      </c>
      <c r="F998" s="7">
        <v>0.47657932011331439</v>
      </c>
      <c r="G998">
        <v>2024</v>
      </c>
    </row>
    <row r="999" spans="1:7" x14ac:dyDescent="0.25">
      <c r="A999" t="s">
        <v>13</v>
      </c>
      <c r="B999" s="3">
        <v>45566</v>
      </c>
      <c r="C999" s="9">
        <v>695.37</v>
      </c>
      <c r="D999">
        <v>1412</v>
      </c>
      <c r="E999" s="8">
        <v>2.0305736514373645</v>
      </c>
      <c r="F999" s="7">
        <v>0.49247167138810199</v>
      </c>
      <c r="G999">
        <v>2024</v>
      </c>
    </row>
    <row r="1000" spans="1:7" x14ac:dyDescent="0.25">
      <c r="A1000" t="s">
        <v>13</v>
      </c>
      <c r="B1000" s="3">
        <v>45597</v>
      </c>
      <c r="C1000" s="9">
        <v>727.65</v>
      </c>
      <c r="D1000">
        <v>1412</v>
      </c>
      <c r="E1000" s="8">
        <v>1.9404933690647976</v>
      </c>
      <c r="F1000" s="7">
        <v>0.51533286118980171</v>
      </c>
      <c r="G1000">
        <v>2024</v>
      </c>
    </row>
    <row r="1001" spans="1:7" x14ac:dyDescent="0.25">
      <c r="A1001" t="s">
        <v>13</v>
      </c>
      <c r="B1001" s="3">
        <v>45627</v>
      </c>
      <c r="C1001" s="9">
        <v>732.5</v>
      </c>
      <c r="D1001">
        <v>1412</v>
      </c>
      <c r="E1001" s="8">
        <v>1.9276450511945393</v>
      </c>
      <c r="F1001" s="7">
        <v>0.51876770538243622</v>
      </c>
      <c r="G1001">
        <v>2024</v>
      </c>
    </row>
    <row r="1002" spans="1:7" x14ac:dyDescent="0.25">
      <c r="A1002" t="s">
        <v>13</v>
      </c>
      <c r="B1002" s="3">
        <v>45658</v>
      </c>
      <c r="C1002" s="9">
        <v>756.92</v>
      </c>
      <c r="D1002">
        <v>1518</v>
      </c>
      <c r="E1002" s="8">
        <v>2.0054959573006395</v>
      </c>
      <c r="F1002" s="7">
        <v>0.49862977602108033</v>
      </c>
      <c r="G1002">
        <v>2025</v>
      </c>
    </row>
    <row r="1003" spans="1:7" x14ac:dyDescent="0.25">
      <c r="A1003" t="s">
        <v>13</v>
      </c>
      <c r="B1003" s="3">
        <v>45689</v>
      </c>
      <c r="C1003" s="9">
        <v>739.34</v>
      </c>
      <c r="D1003">
        <v>1518</v>
      </c>
      <c r="E1003" s="8">
        <v>2.0531825682365352</v>
      </c>
      <c r="F1003" s="7">
        <v>0.48704874835309619</v>
      </c>
      <c r="G1003">
        <v>2025</v>
      </c>
    </row>
    <row r="1004" spans="1:7" x14ac:dyDescent="0.25">
      <c r="A1004" t="s">
        <v>13</v>
      </c>
      <c r="B1004" s="3">
        <v>45717</v>
      </c>
      <c r="C1004" s="9">
        <v>754.06</v>
      </c>
      <c r="D1004">
        <v>1518</v>
      </c>
      <c r="E1004" s="8">
        <v>2.0131024056441134</v>
      </c>
      <c r="F1004" s="7">
        <v>0.49674571805006584</v>
      </c>
      <c r="G1004">
        <v>2025</v>
      </c>
    </row>
    <row r="1005" spans="1:7" x14ac:dyDescent="0.25">
      <c r="A1005" t="s">
        <v>13</v>
      </c>
      <c r="B1005" s="3">
        <v>45748</v>
      </c>
      <c r="C1005" s="9">
        <v>767.43</v>
      </c>
      <c r="D1005">
        <v>1518</v>
      </c>
      <c r="E1005" s="8">
        <v>1.978030569563348</v>
      </c>
      <c r="F1005" s="7">
        <v>0.50555335968379445</v>
      </c>
      <c r="G1005">
        <v>2025</v>
      </c>
    </row>
    <row r="1006" spans="1:7" x14ac:dyDescent="0.25">
      <c r="A1006" t="s">
        <v>13</v>
      </c>
      <c r="B1006" s="3">
        <v>45778</v>
      </c>
      <c r="C1006" s="9">
        <v>758.67</v>
      </c>
      <c r="D1006">
        <v>1518</v>
      </c>
      <c r="E1006" s="8">
        <v>2.0008699434536754</v>
      </c>
      <c r="F1006" s="7">
        <v>0.49978260869565216</v>
      </c>
      <c r="G1006">
        <v>2025</v>
      </c>
    </row>
    <row r="1007" spans="1:7" x14ac:dyDescent="0.25">
      <c r="A1007" t="s">
        <v>13</v>
      </c>
      <c r="B1007" s="3">
        <v>45809</v>
      </c>
      <c r="C1007" s="9">
        <v>744.27</v>
      </c>
      <c r="D1007">
        <v>1518</v>
      </c>
      <c r="E1007" s="8">
        <v>2.0395824096094159</v>
      </c>
      <c r="F1007" s="7">
        <v>0.49029644268774702</v>
      </c>
      <c r="G1007">
        <v>2025</v>
      </c>
    </row>
    <row r="1008" spans="1:7" x14ac:dyDescent="0.25">
      <c r="A1008" t="s">
        <v>14</v>
      </c>
      <c r="B1008" s="3">
        <v>42005</v>
      </c>
      <c r="C1008" s="9">
        <v>278.73</v>
      </c>
      <c r="D1008">
        <v>788</v>
      </c>
      <c r="E1008" s="8">
        <v>2.8271086714741864</v>
      </c>
      <c r="F1008" s="7">
        <v>0.35371827411167517</v>
      </c>
      <c r="G1008">
        <v>2015</v>
      </c>
    </row>
    <row r="1009" spans="1:7" x14ac:dyDescent="0.25">
      <c r="A1009" t="s">
        <v>14</v>
      </c>
      <c r="B1009" s="3">
        <v>42036</v>
      </c>
      <c r="C1009" s="9">
        <v>286.22000000000003</v>
      </c>
      <c r="D1009">
        <v>788</v>
      </c>
      <c r="E1009" s="8">
        <v>2.7531269652714694</v>
      </c>
      <c r="F1009" s="7">
        <v>0.36322335025380714</v>
      </c>
      <c r="G1009">
        <v>2015</v>
      </c>
    </row>
    <row r="1010" spans="1:7" x14ac:dyDescent="0.25">
      <c r="A1010" t="s">
        <v>14</v>
      </c>
      <c r="B1010" s="3">
        <v>42064</v>
      </c>
      <c r="C1010" s="9">
        <v>288.43</v>
      </c>
      <c r="D1010">
        <v>788</v>
      </c>
      <c r="E1010" s="8">
        <v>2.7320320355025483</v>
      </c>
      <c r="F1010" s="7">
        <v>0.36602791878172591</v>
      </c>
      <c r="G1010">
        <v>2015</v>
      </c>
    </row>
    <row r="1011" spans="1:7" x14ac:dyDescent="0.25">
      <c r="A1011" t="s">
        <v>14</v>
      </c>
      <c r="B1011" s="3">
        <v>42095</v>
      </c>
      <c r="C1011" s="9">
        <v>299.89999999999998</v>
      </c>
      <c r="D1011">
        <v>788</v>
      </c>
      <c r="E1011" s="8">
        <v>2.6275425141713908</v>
      </c>
      <c r="F1011" s="7">
        <v>0.38058375634517766</v>
      </c>
      <c r="G1011">
        <v>2015</v>
      </c>
    </row>
    <row r="1012" spans="1:7" x14ac:dyDescent="0.25">
      <c r="A1012" t="s">
        <v>14</v>
      </c>
      <c r="B1012" s="3">
        <v>42125</v>
      </c>
      <c r="C1012" s="9">
        <v>303.8</v>
      </c>
      <c r="D1012">
        <v>788</v>
      </c>
      <c r="E1012" s="8">
        <v>2.5938117182356812</v>
      </c>
      <c r="F1012" s="7">
        <v>0.3855329949238579</v>
      </c>
      <c r="G1012">
        <v>2015</v>
      </c>
    </row>
    <row r="1013" spans="1:7" x14ac:dyDescent="0.25">
      <c r="A1013" t="s">
        <v>14</v>
      </c>
      <c r="B1013" s="3">
        <v>42156</v>
      </c>
      <c r="C1013" s="9">
        <v>309.48</v>
      </c>
      <c r="D1013">
        <v>788</v>
      </c>
      <c r="E1013" s="8">
        <v>2.5462065400025846</v>
      </c>
      <c r="F1013" s="7">
        <v>0.39274111675126905</v>
      </c>
      <c r="G1013">
        <v>2015</v>
      </c>
    </row>
    <row r="1014" spans="1:7" x14ac:dyDescent="0.25">
      <c r="A1014" t="s">
        <v>14</v>
      </c>
      <c r="B1014" s="3">
        <v>42186</v>
      </c>
      <c r="C1014" s="9">
        <v>306.52999999999997</v>
      </c>
      <c r="D1014">
        <v>788</v>
      </c>
      <c r="E1014" s="8">
        <v>2.570710860274688</v>
      </c>
      <c r="F1014" s="7">
        <v>0.38899746192893397</v>
      </c>
      <c r="G1014">
        <v>2015</v>
      </c>
    </row>
    <row r="1015" spans="1:7" x14ac:dyDescent="0.25">
      <c r="A1015" t="s">
        <v>14</v>
      </c>
      <c r="B1015" s="3">
        <v>42217</v>
      </c>
      <c r="C1015" s="9">
        <v>307.39</v>
      </c>
      <c r="D1015">
        <v>788</v>
      </c>
      <c r="E1015" s="8">
        <v>2.5635186570805817</v>
      </c>
      <c r="F1015" s="7">
        <v>0.39008883248730963</v>
      </c>
      <c r="G1015">
        <v>2015</v>
      </c>
    </row>
    <row r="1016" spans="1:7" x14ac:dyDescent="0.25">
      <c r="A1016" t="s">
        <v>14</v>
      </c>
      <c r="B1016" s="3">
        <v>42248</v>
      </c>
      <c r="C1016" s="9">
        <v>299.64999999999998</v>
      </c>
      <c r="D1016">
        <v>788</v>
      </c>
      <c r="E1016" s="8">
        <v>2.6297346904722176</v>
      </c>
      <c r="F1016" s="7">
        <v>0.38026649746192892</v>
      </c>
      <c r="G1016">
        <v>2015</v>
      </c>
    </row>
    <row r="1017" spans="1:7" x14ac:dyDescent="0.25">
      <c r="A1017" t="s">
        <v>14</v>
      </c>
      <c r="B1017" s="3">
        <v>42278</v>
      </c>
      <c r="C1017" s="9">
        <v>298.17</v>
      </c>
      <c r="D1017">
        <v>788</v>
      </c>
      <c r="E1017" s="8">
        <v>2.6427876714625884</v>
      </c>
      <c r="F1017" s="7">
        <v>0.37838832487309648</v>
      </c>
      <c r="G1017">
        <v>2015</v>
      </c>
    </row>
    <row r="1018" spans="1:7" x14ac:dyDescent="0.25">
      <c r="A1018" t="s">
        <v>14</v>
      </c>
      <c r="B1018" s="3">
        <v>42309</v>
      </c>
      <c r="C1018" s="9">
        <v>310.14999999999998</v>
      </c>
      <c r="D1018">
        <v>788</v>
      </c>
      <c r="E1018" s="8">
        <v>2.5407061099468002</v>
      </c>
      <c r="F1018" s="7">
        <v>0.39359137055837562</v>
      </c>
      <c r="G1018">
        <v>2015</v>
      </c>
    </row>
    <row r="1019" spans="1:7" x14ac:dyDescent="0.25">
      <c r="A1019" t="s">
        <v>14</v>
      </c>
      <c r="B1019" s="3">
        <v>42339</v>
      </c>
      <c r="C1019" s="9">
        <v>316.82</v>
      </c>
      <c r="D1019">
        <v>788</v>
      </c>
      <c r="E1019" s="8">
        <v>2.4872167161164067</v>
      </c>
      <c r="F1019" s="7">
        <v>0.40205583756345176</v>
      </c>
      <c r="G1019">
        <v>2015</v>
      </c>
    </row>
    <row r="1020" spans="1:7" x14ac:dyDescent="0.25">
      <c r="A1020" t="s">
        <v>14</v>
      </c>
      <c r="B1020" s="3">
        <v>42370</v>
      </c>
      <c r="C1020" s="9">
        <v>349.75</v>
      </c>
      <c r="D1020">
        <v>880</v>
      </c>
      <c r="E1020" s="8">
        <v>2.516082916368835</v>
      </c>
      <c r="F1020" s="7">
        <v>0.39744318181818183</v>
      </c>
      <c r="G1020">
        <v>2016</v>
      </c>
    </row>
    <row r="1021" spans="1:7" x14ac:dyDescent="0.25">
      <c r="A1021" t="s">
        <v>14</v>
      </c>
      <c r="B1021" s="3">
        <v>42401</v>
      </c>
      <c r="C1021" s="9">
        <v>360.66</v>
      </c>
      <c r="D1021">
        <v>880</v>
      </c>
      <c r="E1021" s="8">
        <v>2.4399711639771526</v>
      </c>
      <c r="F1021" s="7">
        <v>0.40984090909090914</v>
      </c>
      <c r="G1021">
        <v>2016</v>
      </c>
    </row>
    <row r="1022" spans="1:7" x14ac:dyDescent="0.25">
      <c r="A1022" t="s">
        <v>14</v>
      </c>
      <c r="B1022" s="3">
        <v>42430</v>
      </c>
      <c r="C1022" s="9">
        <v>351.88</v>
      </c>
      <c r="D1022">
        <v>880</v>
      </c>
      <c r="E1022" s="8">
        <v>2.5008525633738774</v>
      </c>
      <c r="F1022" s="7">
        <v>0.39986363636363637</v>
      </c>
      <c r="G1022">
        <v>2016</v>
      </c>
    </row>
    <row r="1023" spans="1:7" x14ac:dyDescent="0.25">
      <c r="A1023" t="s">
        <v>14</v>
      </c>
      <c r="B1023" s="3">
        <v>42461</v>
      </c>
      <c r="C1023" s="9">
        <v>365.83</v>
      </c>
      <c r="D1023">
        <v>880</v>
      </c>
      <c r="E1023" s="8">
        <v>2.4054888882814423</v>
      </c>
      <c r="F1023" s="7">
        <v>0.41571590909090905</v>
      </c>
      <c r="G1023">
        <v>2016</v>
      </c>
    </row>
    <row r="1024" spans="1:7" x14ac:dyDescent="0.25">
      <c r="A1024" t="s">
        <v>14</v>
      </c>
      <c r="B1024" s="3">
        <v>42491</v>
      </c>
      <c r="C1024" s="9">
        <v>361.39</v>
      </c>
      <c r="D1024">
        <v>880</v>
      </c>
      <c r="E1024" s="8">
        <v>2.4350424748886246</v>
      </c>
      <c r="F1024" s="7">
        <v>0.41067045454545453</v>
      </c>
      <c r="G1024">
        <v>2016</v>
      </c>
    </row>
    <row r="1025" spans="1:7" x14ac:dyDescent="0.25">
      <c r="A1025" t="s">
        <v>14</v>
      </c>
      <c r="B1025" s="3">
        <v>42522</v>
      </c>
      <c r="C1025" s="9">
        <v>366.06</v>
      </c>
      <c r="D1025">
        <v>880</v>
      </c>
      <c r="E1025" s="8">
        <v>2.4039774900289568</v>
      </c>
      <c r="F1025" s="7">
        <v>0.41597727272727275</v>
      </c>
      <c r="G1025">
        <v>2016</v>
      </c>
    </row>
    <row r="1026" spans="1:7" x14ac:dyDescent="0.25">
      <c r="A1026" t="s">
        <v>14</v>
      </c>
      <c r="B1026" s="3">
        <v>42552</v>
      </c>
      <c r="C1026" s="9">
        <v>387.24</v>
      </c>
      <c r="D1026">
        <v>880</v>
      </c>
      <c r="E1026" s="8">
        <v>2.2724925111042249</v>
      </c>
      <c r="F1026" s="7">
        <v>0.44004545454545457</v>
      </c>
      <c r="G1026">
        <v>2016</v>
      </c>
    </row>
    <row r="1027" spans="1:7" x14ac:dyDescent="0.25">
      <c r="A1027" t="s">
        <v>14</v>
      </c>
      <c r="B1027" s="3">
        <v>42583</v>
      </c>
      <c r="C1027" s="9">
        <v>385.83</v>
      </c>
      <c r="D1027">
        <v>880</v>
      </c>
      <c r="E1027" s="8">
        <v>2.2807972423087888</v>
      </c>
      <c r="F1027" s="7">
        <v>0.43844318181818182</v>
      </c>
      <c r="G1027">
        <v>2016</v>
      </c>
    </row>
    <row r="1028" spans="1:7" x14ac:dyDescent="0.25">
      <c r="A1028" t="s">
        <v>14</v>
      </c>
      <c r="B1028" s="3">
        <v>42614</v>
      </c>
      <c r="C1028" s="9">
        <v>386.92</v>
      </c>
      <c r="D1028">
        <v>880</v>
      </c>
      <c r="E1028" s="8">
        <v>2.2743719631965265</v>
      </c>
      <c r="F1028" s="7">
        <v>0.43968181818181817</v>
      </c>
      <c r="G1028">
        <v>2016</v>
      </c>
    </row>
    <row r="1029" spans="1:7" x14ac:dyDescent="0.25">
      <c r="A1029" t="s">
        <v>14</v>
      </c>
      <c r="B1029" s="3">
        <v>42644</v>
      </c>
      <c r="C1029" s="9">
        <v>385.5</v>
      </c>
      <c r="D1029">
        <v>880</v>
      </c>
      <c r="E1029" s="8">
        <v>2.2827496757457846</v>
      </c>
      <c r="F1029" s="7">
        <v>0.4380681818181818</v>
      </c>
      <c r="G1029">
        <v>2016</v>
      </c>
    </row>
    <row r="1030" spans="1:7" x14ac:dyDescent="0.25">
      <c r="A1030" t="s">
        <v>14</v>
      </c>
      <c r="B1030" s="3">
        <v>42675</v>
      </c>
      <c r="C1030" s="9">
        <v>370.65</v>
      </c>
      <c r="D1030">
        <v>880</v>
      </c>
      <c r="E1030" s="8">
        <v>2.3742074733576151</v>
      </c>
      <c r="F1030" s="7">
        <v>0.42119318181818177</v>
      </c>
      <c r="G1030">
        <v>2016</v>
      </c>
    </row>
    <row r="1031" spans="1:7" x14ac:dyDescent="0.25">
      <c r="A1031" t="s">
        <v>14</v>
      </c>
      <c r="B1031" s="3">
        <v>42705</v>
      </c>
      <c r="C1031" s="9">
        <v>366.16</v>
      </c>
      <c r="D1031">
        <v>880</v>
      </c>
      <c r="E1031" s="8">
        <v>2.403320952589032</v>
      </c>
      <c r="F1031" s="7">
        <v>0.41609090909090912</v>
      </c>
      <c r="G1031">
        <v>2016</v>
      </c>
    </row>
    <row r="1032" spans="1:7" x14ac:dyDescent="0.25">
      <c r="A1032" t="s">
        <v>14</v>
      </c>
      <c r="B1032" s="3">
        <v>42736</v>
      </c>
      <c r="C1032" s="9">
        <v>368.95</v>
      </c>
      <c r="D1032">
        <v>937</v>
      </c>
      <c r="E1032" s="8">
        <v>2.5396395175498037</v>
      </c>
      <c r="F1032" s="7">
        <v>0.39375667022411953</v>
      </c>
      <c r="G1032">
        <v>2017</v>
      </c>
    </row>
    <row r="1033" spans="1:7" x14ac:dyDescent="0.25">
      <c r="A1033" t="s">
        <v>14</v>
      </c>
      <c r="B1033" s="3">
        <v>42767</v>
      </c>
      <c r="C1033" s="9">
        <v>364.75</v>
      </c>
      <c r="D1033">
        <v>937</v>
      </c>
      <c r="E1033" s="8">
        <v>2.5688827964359149</v>
      </c>
      <c r="F1033" s="7">
        <v>0.38927427961579508</v>
      </c>
      <c r="G1033">
        <v>2017</v>
      </c>
    </row>
    <row r="1034" spans="1:7" x14ac:dyDescent="0.25">
      <c r="A1034" t="s">
        <v>14</v>
      </c>
      <c r="B1034" s="3">
        <v>42795</v>
      </c>
      <c r="C1034" s="9">
        <v>374.18</v>
      </c>
      <c r="D1034">
        <v>937</v>
      </c>
      <c r="E1034" s="8">
        <v>2.5041423913624459</v>
      </c>
      <c r="F1034" s="7">
        <v>0.39933831376734258</v>
      </c>
      <c r="G1034">
        <v>2017</v>
      </c>
    </row>
    <row r="1035" spans="1:7" x14ac:dyDescent="0.25">
      <c r="A1035" t="s">
        <v>14</v>
      </c>
      <c r="B1035" s="3">
        <v>42826</v>
      </c>
      <c r="C1035" s="9">
        <v>382.52</v>
      </c>
      <c r="D1035">
        <v>937</v>
      </c>
      <c r="E1035" s="8">
        <v>2.4495451218236957</v>
      </c>
      <c r="F1035" s="7">
        <v>0.40823906083244393</v>
      </c>
      <c r="G1035">
        <v>2017</v>
      </c>
    </row>
    <row r="1036" spans="1:7" x14ac:dyDescent="0.25">
      <c r="A1036" t="s">
        <v>14</v>
      </c>
      <c r="B1036" s="3">
        <v>42856</v>
      </c>
      <c r="C1036" s="9">
        <v>383.81</v>
      </c>
      <c r="D1036">
        <v>937</v>
      </c>
      <c r="E1036" s="8">
        <v>2.4413121075532165</v>
      </c>
      <c r="F1036" s="7">
        <v>0.40961579509071505</v>
      </c>
      <c r="G1036">
        <v>2017</v>
      </c>
    </row>
    <row r="1037" spans="1:7" x14ac:dyDescent="0.25">
      <c r="A1037" t="s">
        <v>14</v>
      </c>
      <c r="B1037" s="3">
        <v>42887</v>
      </c>
      <c r="C1037" s="9">
        <v>369.78</v>
      </c>
      <c r="D1037">
        <v>937</v>
      </c>
      <c r="E1037" s="8">
        <v>2.5339390989236845</v>
      </c>
      <c r="F1037" s="7">
        <v>0.39464247598719315</v>
      </c>
      <c r="G1037">
        <v>2017</v>
      </c>
    </row>
    <row r="1038" spans="1:7" x14ac:dyDescent="0.25">
      <c r="A1038" t="s">
        <v>14</v>
      </c>
      <c r="B1038" s="3">
        <v>42917</v>
      </c>
      <c r="C1038" s="9">
        <v>361.41</v>
      </c>
      <c r="D1038">
        <v>937</v>
      </c>
      <c r="E1038" s="8">
        <v>2.5926233363769677</v>
      </c>
      <c r="F1038" s="7">
        <v>0.38570971184631808</v>
      </c>
      <c r="G1038">
        <v>2017</v>
      </c>
    </row>
    <row r="1039" spans="1:7" x14ac:dyDescent="0.25">
      <c r="A1039" t="s">
        <v>14</v>
      </c>
      <c r="B1039" s="3">
        <v>42948</v>
      </c>
      <c r="C1039" s="9">
        <v>351.08</v>
      </c>
      <c r="D1039">
        <v>937</v>
      </c>
      <c r="E1039" s="8">
        <v>2.6689073715392504</v>
      </c>
      <c r="F1039" s="7">
        <v>0.37468516542155816</v>
      </c>
      <c r="G1039">
        <v>2017</v>
      </c>
    </row>
    <row r="1040" spans="1:7" x14ac:dyDescent="0.25">
      <c r="A1040" t="s">
        <v>14</v>
      </c>
      <c r="B1040" s="3">
        <v>42979</v>
      </c>
      <c r="C1040" s="9">
        <v>334.86</v>
      </c>
      <c r="D1040">
        <v>937</v>
      </c>
      <c r="E1040" s="8">
        <v>2.7981843158334825</v>
      </c>
      <c r="F1040" s="7">
        <v>0.35737459978655284</v>
      </c>
      <c r="G1040">
        <v>2017</v>
      </c>
    </row>
    <row r="1041" spans="1:7" x14ac:dyDescent="0.25">
      <c r="A1041" t="s">
        <v>14</v>
      </c>
      <c r="B1041" s="3">
        <v>43009</v>
      </c>
      <c r="C1041" s="9">
        <v>330.38</v>
      </c>
      <c r="D1041">
        <v>937</v>
      </c>
      <c r="E1041" s="8">
        <v>2.8361280949209999</v>
      </c>
      <c r="F1041" s="7">
        <v>0.35259338313767341</v>
      </c>
      <c r="G1041">
        <v>2017</v>
      </c>
    </row>
    <row r="1042" spans="1:7" x14ac:dyDescent="0.25">
      <c r="A1042" t="s">
        <v>14</v>
      </c>
      <c r="B1042" s="3">
        <v>43040</v>
      </c>
      <c r="C1042" s="9">
        <v>324.89999999999998</v>
      </c>
      <c r="D1042">
        <v>937</v>
      </c>
      <c r="E1042" s="8">
        <v>2.883964296706679</v>
      </c>
      <c r="F1042" s="7">
        <v>0.34674493062966916</v>
      </c>
      <c r="G1042">
        <v>2017</v>
      </c>
    </row>
    <row r="1043" spans="1:7" x14ac:dyDescent="0.25">
      <c r="A1043" t="s">
        <v>14</v>
      </c>
      <c r="B1043" s="3">
        <v>43070</v>
      </c>
      <c r="C1043" s="9">
        <v>329.52</v>
      </c>
      <c r="D1043">
        <v>937</v>
      </c>
      <c r="E1043" s="8">
        <v>2.8435299830055842</v>
      </c>
      <c r="F1043" s="7">
        <v>0.35167556029882602</v>
      </c>
      <c r="G1043">
        <v>2017</v>
      </c>
    </row>
    <row r="1044" spans="1:7" x14ac:dyDescent="0.25">
      <c r="A1044" t="s">
        <v>14</v>
      </c>
      <c r="B1044" s="3">
        <v>43101</v>
      </c>
      <c r="C1044" s="9">
        <v>368.76</v>
      </c>
      <c r="D1044">
        <v>954</v>
      </c>
      <c r="E1044" s="8">
        <v>2.5870484868206964</v>
      </c>
      <c r="F1044" s="7">
        <v>0.38654088050314467</v>
      </c>
      <c r="G1044">
        <v>2018</v>
      </c>
    </row>
    <row r="1045" spans="1:7" x14ac:dyDescent="0.25">
      <c r="A1045" t="s">
        <v>14</v>
      </c>
      <c r="B1045" s="3">
        <v>43132</v>
      </c>
      <c r="C1045" s="9">
        <v>354.15</v>
      </c>
      <c r="D1045">
        <v>954</v>
      </c>
      <c r="E1045" s="8">
        <v>2.693773824650572</v>
      </c>
      <c r="F1045" s="7">
        <v>0.37122641509433962</v>
      </c>
      <c r="G1045">
        <v>2018</v>
      </c>
    </row>
    <row r="1046" spans="1:7" x14ac:dyDescent="0.25">
      <c r="A1046" t="s">
        <v>14</v>
      </c>
      <c r="B1046" s="3">
        <v>43160</v>
      </c>
      <c r="C1046" s="9">
        <v>349.83</v>
      </c>
      <c r="D1046">
        <v>954</v>
      </c>
      <c r="E1046" s="8">
        <v>2.7270388474401854</v>
      </c>
      <c r="F1046" s="7">
        <v>0.36669811320754714</v>
      </c>
      <c r="G1046">
        <v>2018</v>
      </c>
    </row>
    <row r="1047" spans="1:7" x14ac:dyDescent="0.25">
      <c r="A1047" t="s">
        <v>14</v>
      </c>
      <c r="B1047" s="3">
        <v>43191</v>
      </c>
      <c r="C1047" s="9">
        <v>335.77</v>
      </c>
      <c r="D1047">
        <v>954</v>
      </c>
      <c r="E1047" s="8">
        <v>2.8412306042826936</v>
      </c>
      <c r="F1047" s="7">
        <v>0.3519601677148847</v>
      </c>
      <c r="G1047">
        <v>2018</v>
      </c>
    </row>
    <row r="1048" spans="1:7" x14ac:dyDescent="0.25">
      <c r="A1048" t="s">
        <v>14</v>
      </c>
      <c r="B1048" s="3">
        <v>43221</v>
      </c>
      <c r="C1048" s="9">
        <v>346.42</v>
      </c>
      <c r="D1048">
        <v>954</v>
      </c>
      <c r="E1048" s="8">
        <v>2.7538825702903988</v>
      </c>
      <c r="F1048" s="7">
        <v>0.36312368972746334</v>
      </c>
      <c r="G1048">
        <v>2018</v>
      </c>
    </row>
    <row r="1049" spans="1:7" x14ac:dyDescent="0.25">
      <c r="A1049" t="s">
        <v>14</v>
      </c>
      <c r="B1049" s="3">
        <v>43252</v>
      </c>
      <c r="C1049" s="9">
        <v>349.8</v>
      </c>
      <c r="D1049">
        <v>954</v>
      </c>
      <c r="E1049" s="8">
        <v>2.7272727272727271</v>
      </c>
      <c r="F1049" s="7">
        <v>0.3666666666666667</v>
      </c>
      <c r="G1049">
        <v>2018</v>
      </c>
    </row>
    <row r="1050" spans="1:7" x14ac:dyDescent="0.25">
      <c r="A1050" t="s">
        <v>14</v>
      </c>
      <c r="B1050" s="3">
        <v>43282</v>
      </c>
      <c r="C1050" s="9">
        <v>347.15</v>
      </c>
      <c r="D1050">
        <v>954</v>
      </c>
      <c r="E1050" s="8">
        <v>2.7480916030534353</v>
      </c>
      <c r="F1050" s="7">
        <v>0.36388888888888887</v>
      </c>
      <c r="G1050">
        <v>2018</v>
      </c>
    </row>
    <row r="1051" spans="1:7" x14ac:dyDescent="0.25">
      <c r="A1051" t="s">
        <v>14</v>
      </c>
      <c r="B1051" s="3">
        <v>43313</v>
      </c>
      <c r="C1051" s="9">
        <v>335.49</v>
      </c>
      <c r="D1051">
        <v>954</v>
      </c>
      <c r="E1051" s="8">
        <v>2.8436018957345972</v>
      </c>
      <c r="F1051" s="7">
        <v>0.35166666666666668</v>
      </c>
      <c r="G1051">
        <v>2018</v>
      </c>
    </row>
    <row r="1052" spans="1:7" x14ac:dyDescent="0.25">
      <c r="A1052" t="s">
        <v>14</v>
      </c>
      <c r="B1052" s="3">
        <v>43344</v>
      </c>
      <c r="C1052" s="9">
        <v>328.99</v>
      </c>
      <c r="D1052">
        <v>954</v>
      </c>
      <c r="E1052" s="8">
        <v>2.8997841879692392</v>
      </c>
      <c r="F1052" s="7">
        <v>0.34485324947589102</v>
      </c>
      <c r="G1052">
        <v>2018</v>
      </c>
    </row>
    <row r="1053" spans="1:7" x14ac:dyDescent="0.25">
      <c r="A1053" t="s">
        <v>14</v>
      </c>
      <c r="B1053" s="3">
        <v>43374</v>
      </c>
      <c r="C1053" s="9">
        <v>334.1</v>
      </c>
      <c r="D1053">
        <v>954</v>
      </c>
      <c r="E1053" s="8">
        <v>2.8554325052379523</v>
      </c>
      <c r="F1053" s="7">
        <v>0.35020964360587004</v>
      </c>
      <c r="G1053">
        <v>2018</v>
      </c>
    </row>
    <row r="1054" spans="1:7" x14ac:dyDescent="0.25">
      <c r="A1054" t="s">
        <v>14</v>
      </c>
      <c r="B1054" s="3">
        <v>43405</v>
      </c>
      <c r="C1054" s="9">
        <v>339.39</v>
      </c>
      <c r="D1054">
        <v>954</v>
      </c>
      <c r="E1054" s="8">
        <v>2.8109254839565105</v>
      </c>
      <c r="F1054" s="7">
        <v>0.35575471698113204</v>
      </c>
      <c r="G1054">
        <v>2018</v>
      </c>
    </row>
    <row r="1055" spans="1:7" x14ac:dyDescent="0.25">
      <c r="A1055" t="s">
        <v>14</v>
      </c>
      <c r="B1055" s="3">
        <v>43435</v>
      </c>
      <c r="C1055" s="9">
        <v>345.21</v>
      </c>
      <c r="D1055">
        <v>954</v>
      </c>
      <c r="E1055" s="8">
        <v>2.7635352394194839</v>
      </c>
      <c r="F1055" s="7">
        <v>0.36185534591194968</v>
      </c>
      <c r="G1055">
        <v>2018</v>
      </c>
    </row>
    <row r="1056" spans="1:7" x14ac:dyDescent="0.25">
      <c r="A1056" t="s">
        <v>14</v>
      </c>
      <c r="B1056" s="3">
        <v>43466</v>
      </c>
      <c r="C1056" s="9">
        <v>360.92</v>
      </c>
      <c r="D1056">
        <v>998</v>
      </c>
      <c r="E1056" s="8">
        <v>2.7651557131774354</v>
      </c>
      <c r="F1056" s="7">
        <v>0.36164328657314632</v>
      </c>
      <c r="G1056">
        <v>2019</v>
      </c>
    </row>
    <row r="1057" spans="1:7" x14ac:dyDescent="0.25">
      <c r="A1057" t="s">
        <v>14</v>
      </c>
      <c r="B1057" s="3">
        <v>43497</v>
      </c>
      <c r="C1057" s="9">
        <v>378.26</v>
      </c>
      <c r="D1057">
        <v>998</v>
      </c>
      <c r="E1057" s="8">
        <v>2.6383968698778619</v>
      </c>
      <c r="F1057" s="7">
        <v>0.37901803607214429</v>
      </c>
      <c r="G1057">
        <v>2019</v>
      </c>
    </row>
    <row r="1058" spans="1:7" x14ac:dyDescent="0.25">
      <c r="A1058" t="s">
        <v>14</v>
      </c>
      <c r="B1058" s="3">
        <v>43525</v>
      </c>
      <c r="C1058" s="9">
        <v>400.38</v>
      </c>
      <c r="D1058">
        <v>998</v>
      </c>
      <c r="E1058" s="8">
        <v>2.4926319996003796</v>
      </c>
      <c r="F1058" s="7">
        <v>0.4011823647294589</v>
      </c>
      <c r="G1058">
        <v>2019</v>
      </c>
    </row>
    <row r="1059" spans="1:7" x14ac:dyDescent="0.25">
      <c r="A1059" t="s">
        <v>14</v>
      </c>
      <c r="B1059" s="3">
        <v>43556</v>
      </c>
      <c r="C1059" s="9">
        <v>412.27</v>
      </c>
      <c r="D1059">
        <v>998</v>
      </c>
      <c r="E1059" s="8">
        <v>2.4207436873893324</v>
      </c>
      <c r="F1059" s="7">
        <v>0.41309619238476952</v>
      </c>
      <c r="G1059">
        <v>2019</v>
      </c>
    </row>
    <row r="1060" spans="1:7" x14ac:dyDescent="0.25">
      <c r="A1060" t="s">
        <v>14</v>
      </c>
      <c r="B1060" s="3">
        <v>43586</v>
      </c>
      <c r="C1060" s="9">
        <v>403.57</v>
      </c>
      <c r="D1060">
        <v>998</v>
      </c>
      <c r="E1060" s="8">
        <v>2.4729291077136555</v>
      </c>
      <c r="F1060" s="7">
        <v>0.40437875751503005</v>
      </c>
      <c r="G1060">
        <v>2019</v>
      </c>
    </row>
    <row r="1061" spans="1:7" x14ac:dyDescent="0.25">
      <c r="A1061" t="s">
        <v>14</v>
      </c>
      <c r="B1061" s="3">
        <v>43617</v>
      </c>
      <c r="C1061" s="9">
        <v>398.72</v>
      </c>
      <c r="D1061">
        <v>998</v>
      </c>
      <c r="E1061" s="8">
        <v>2.5030096308186196</v>
      </c>
      <c r="F1061" s="7">
        <v>0.39951903807615236</v>
      </c>
      <c r="G1061">
        <v>2019</v>
      </c>
    </row>
    <row r="1062" spans="1:7" x14ac:dyDescent="0.25">
      <c r="A1062" t="s">
        <v>14</v>
      </c>
      <c r="B1062" s="3">
        <v>43647</v>
      </c>
      <c r="C1062" s="9">
        <v>385.58</v>
      </c>
      <c r="D1062">
        <v>998</v>
      </c>
      <c r="E1062" s="8">
        <v>2.5883085222262565</v>
      </c>
      <c r="F1062" s="7">
        <v>0.38635270541082162</v>
      </c>
      <c r="G1062">
        <v>2019</v>
      </c>
    </row>
    <row r="1063" spans="1:7" x14ac:dyDescent="0.25">
      <c r="A1063" t="s">
        <v>14</v>
      </c>
      <c r="B1063" s="3">
        <v>43678</v>
      </c>
      <c r="C1063" s="9">
        <v>367.86</v>
      </c>
      <c r="D1063">
        <v>998</v>
      </c>
      <c r="E1063" s="8">
        <v>2.7129886369814602</v>
      </c>
      <c r="F1063" s="7">
        <v>0.36859719438877758</v>
      </c>
      <c r="G1063">
        <v>2019</v>
      </c>
    </row>
    <row r="1064" spans="1:7" x14ac:dyDescent="0.25">
      <c r="A1064" t="s">
        <v>14</v>
      </c>
      <c r="B1064" s="3">
        <v>43709</v>
      </c>
      <c r="C1064" s="9">
        <v>359.62</v>
      </c>
      <c r="D1064">
        <v>998</v>
      </c>
      <c r="E1064" s="8">
        <v>2.775151548857127</v>
      </c>
      <c r="F1064" s="7">
        <v>0.36034068136272546</v>
      </c>
      <c r="G1064">
        <v>2019</v>
      </c>
    </row>
    <row r="1065" spans="1:7" x14ac:dyDescent="0.25">
      <c r="A1065" t="s">
        <v>14</v>
      </c>
      <c r="B1065" s="3">
        <v>43739</v>
      </c>
      <c r="C1065" s="9">
        <v>351.19</v>
      </c>
      <c r="D1065">
        <v>998</v>
      </c>
      <c r="E1065" s="8">
        <v>2.841766565107207</v>
      </c>
      <c r="F1065" s="7">
        <v>0.35189378757515027</v>
      </c>
      <c r="G1065">
        <v>2019</v>
      </c>
    </row>
    <row r="1066" spans="1:7" x14ac:dyDescent="0.25">
      <c r="A1066" t="s">
        <v>14</v>
      </c>
      <c r="B1066" s="3">
        <v>43770</v>
      </c>
      <c r="C1066" s="9">
        <v>347.14</v>
      </c>
      <c r="D1066">
        <v>998</v>
      </c>
      <c r="E1066" s="8">
        <v>2.874920781240998</v>
      </c>
      <c r="F1066" s="7">
        <v>0.34783567134268534</v>
      </c>
      <c r="G1066">
        <v>2019</v>
      </c>
    </row>
    <row r="1067" spans="1:7" x14ac:dyDescent="0.25">
      <c r="A1067" t="s">
        <v>14</v>
      </c>
      <c r="B1067" s="3">
        <v>43800</v>
      </c>
      <c r="C1067" s="9">
        <v>373.56</v>
      </c>
      <c r="D1067">
        <v>998</v>
      </c>
      <c r="E1067" s="8">
        <v>2.6715922475639791</v>
      </c>
      <c r="F1067" s="7">
        <v>0.37430861723446895</v>
      </c>
      <c r="G1067">
        <v>2019</v>
      </c>
    </row>
    <row r="1068" spans="1:7" x14ac:dyDescent="0.25">
      <c r="A1068" t="s">
        <v>14</v>
      </c>
      <c r="B1068" s="3">
        <v>43831</v>
      </c>
      <c r="C1068" s="9">
        <v>388.02</v>
      </c>
      <c r="D1068">
        <v>1039</v>
      </c>
      <c r="E1068" s="8">
        <v>2.6776970259264989</v>
      </c>
      <c r="F1068" s="7">
        <v>0.37345524542829645</v>
      </c>
      <c r="G1068">
        <v>2020</v>
      </c>
    </row>
    <row r="1069" spans="1:7" x14ac:dyDescent="0.25">
      <c r="A1069" t="s">
        <v>14</v>
      </c>
      <c r="B1069" s="3">
        <v>43862</v>
      </c>
      <c r="C1069" s="9">
        <v>403.98</v>
      </c>
      <c r="D1069">
        <v>1045</v>
      </c>
      <c r="E1069" s="8">
        <v>2.5867617208772709</v>
      </c>
      <c r="F1069" s="7">
        <v>0.38658373205741631</v>
      </c>
      <c r="G1069">
        <v>2020</v>
      </c>
    </row>
    <row r="1070" spans="1:7" x14ac:dyDescent="0.25">
      <c r="A1070" t="s">
        <v>14</v>
      </c>
      <c r="B1070" s="3">
        <v>43891</v>
      </c>
      <c r="C1070" s="9">
        <v>414.05</v>
      </c>
      <c r="D1070">
        <v>1045</v>
      </c>
      <c r="E1070" s="8">
        <v>2.5238497765970291</v>
      </c>
      <c r="F1070" s="7">
        <v>0.39622009569377992</v>
      </c>
      <c r="G1070">
        <v>2020</v>
      </c>
    </row>
    <row r="1071" spans="1:7" x14ac:dyDescent="0.25">
      <c r="A1071" t="s">
        <v>14</v>
      </c>
      <c r="B1071" s="3">
        <v>43922</v>
      </c>
      <c r="C1071" s="9">
        <v>437.93</v>
      </c>
      <c r="D1071">
        <v>1045</v>
      </c>
      <c r="E1071" s="8">
        <v>2.3862261091955337</v>
      </c>
      <c r="F1071" s="7">
        <v>0.41907177033492826</v>
      </c>
      <c r="G1071">
        <v>2020</v>
      </c>
    </row>
    <row r="1072" spans="1:7" x14ac:dyDescent="0.25">
      <c r="A1072" t="s">
        <v>14</v>
      </c>
      <c r="B1072" s="3">
        <v>43952</v>
      </c>
      <c r="C1072" s="9">
        <v>440.25</v>
      </c>
      <c r="D1072">
        <v>1045</v>
      </c>
      <c r="E1072" s="8">
        <v>2.3736513344690517</v>
      </c>
      <c r="F1072" s="7">
        <v>0.42129186602870811</v>
      </c>
      <c r="G1072">
        <v>2020</v>
      </c>
    </row>
    <row r="1073" spans="1:7" x14ac:dyDescent="0.25">
      <c r="A1073" t="s">
        <v>14</v>
      </c>
      <c r="B1073" s="3">
        <v>43983</v>
      </c>
      <c r="C1073" s="9">
        <v>430.44</v>
      </c>
      <c r="D1073">
        <v>1045</v>
      </c>
      <c r="E1073" s="8">
        <v>2.4277483505250443</v>
      </c>
      <c r="F1073" s="7">
        <v>0.41190430622009572</v>
      </c>
      <c r="G1073">
        <v>2020</v>
      </c>
    </row>
    <row r="1074" spans="1:7" x14ac:dyDescent="0.25">
      <c r="A1074" t="s">
        <v>14</v>
      </c>
      <c r="B1074" s="3">
        <v>44013</v>
      </c>
      <c r="C1074" s="9">
        <v>417.75</v>
      </c>
      <c r="D1074">
        <v>1045</v>
      </c>
      <c r="E1074" s="8">
        <v>2.5014961101137043</v>
      </c>
      <c r="F1074" s="7">
        <v>0.39976076555023926</v>
      </c>
      <c r="G1074">
        <v>2020</v>
      </c>
    </row>
    <row r="1075" spans="1:7" x14ac:dyDescent="0.25">
      <c r="A1075" t="s">
        <v>14</v>
      </c>
      <c r="B1075" s="3">
        <v>44044</v>
      </c>
      <c r="C1075" s="9">
        <v>414.5</v>
      </c>
      <c r="D1075">
        <v>1045</v>
      </c>
      <c r="E1075" s="8">
        <v>2.5211097708082026</v>
      </c>
      <c r="F1075" s="7">
        <v>0.39665071770334931</v>
      </c>
      <c r="G1075">
        <v>2020</v>
      </c>
    </row>
    <row r="1076" spans="1:7" x14ac:dyDescent="0.25">
      <c r="A1076" t="s">
        <v>14</v>
      </c>
      <c r="B1076" s="3">
        <v>44075</v>
      </c>
      <c r="C1076" s="9">
        <v>432.04</v>
      </c>
      <c r="D1076">
        <v>1045</v>
      </c>
      <c r="E1076" s="8">
        <v>2.4187575224516249</v>
      </c>
      <c r="F1076" s="7">
        <v>0.4134354066985646</v>
      </c>
      <c r="G1076">
        <v>2020</v>
      </c>
    </row>
    <row r="1077" spans="1:7" x14ac:dyDescent="0.25">
      <c r="A1077" t="s">
        <v>14</v>
      </c>
      <c r="B1077" s="3">
        <v>44105</v>
      </c>
      <c r="C1077" s="9">
        <v>449.97</v>
      </c>
      <c r="D1077">
        <v>1045</v>
      </c>
      <c r="E1077" s="8">
        <v>2.3223770473587129</v>
      </c>
      <c r="F1077" s="7">
        <v>0.43059330143540675</v>
      </c>
      <c r="G1077">
        <v>2020</v>
      </c>
    </row>
    <row r="1078" spans="1:7" x14ac:dyDescent="0.25">
      <c r="A1078" t="s">
        <v>14</v>
      </c>
      <c r="B1078" s="3">
        <v>44136</v>
      </c>
      <c r="C1078" s="9">
        <v>454.85</v>
      </c>
      <c r="D1078">
        <v>1045</v>
      </c>
      <c r="E1078" s="8">
        <v>2.2974607013301087</v>
      </c>
      <c r="F1078" s="7">
        <v>0.43526315789473685</v>
      </c>
      <c r="G1078">
        <v>2020</v>
      </c>
    </row>
    <row r="1079" spans="1:7" x14ac:dyDescent="0.25">
      <c r="A1079" t="s">
        <v>14</v>
      </c>
      <c r="B1079" s="3">
        <v>44166</v>
      </c>
      <c r="C1079" s="9">
        <v>475.19</v>
      </c>
      <c r="D1079">
        <v>1045</v>
      </c>
      <c r="E1079" s="8">
        <v>2.1991203518592561</v>
      </c>
      <c r="F1079" s="7">
        <v>0.4547272727272727</v>
      </c>
      <c r="G1079">
        <v>2020</v>
      </c>
    </row>
    <row r="1080" spans="1:7" x14ac:dyDescent="0.25">
      <c r="A1080" t="s">
        <v>14</v>
      </c>
      <c r="B1080" s="3">
        <v>44197</v>
      </c>
      <c r="C1080" s="9">
        <v>471.87</v>
      </c>
      <c r="D1080">
        <v>1100</v>
      </c>
      <c r="E1080" s="8">
        <v>2.3311505287473246</v>
      </c>
      <c r="F1080" s="7">
        <v>0.42897272727272728</v>
      </c>
      <c r="G1080">
        <v>2021</v>
      </c>
    </row>
    <row r="1081" spans="1:7" x14ac:dyDescent="0.25">
      <c r="A1081" t="s">
        <v>14</v>
      </c>
      <c r="B1081" s="3">
        <v>44228</v>
      </c>
      <c r="C1081" s="9">
        <v>484.54</v>
      </c>
      <c r="D1081">
        <v>1100</v>
      </c>
      <c r="E1081" s="8">
        <v>2.2701944111941224</v>
      </c>
      <c r="F1081" s="7">
        <v>0.4404909090909091</v>
      </c>
      <c r="G1081">
        <v>2021</v>
      </c>
    </row>
    <row r="1082" spans="1:7" x14ac:dyDescent="0.25">
      <c r="A1082" t="s">
        <v>14</v>
      </c>
      <c r="B1082" s="3">
        <v>44256</v>
      </c>
      <c r="C1082" s="9">
        <v>478.52</v>
      </c>
      <c r="D1082">
        <v>1100</v>
      </c>
      <c r="E1082" s="8">
        <v>2.2987544930201453</v>
      </c>
      <c r="F1082" s="7">
        <v>0.4350181818181818</v>
      </c>
      <c r="G1082">
        <v>2021</v>
      </c>
    </row>
    <row r="1083" spans="1:7" x14ac:dyDescent="0.25">
      <c r="A1083" t="s">
        <v>14</v>
      </c>
      <c r="B1083" s="3">
        <v>44287</v>
      </c>
      <c r="C1083" s="9">
        <v>490.04</v>
      </c>
      <c r="D1083">
        <v>1100</v>
      </c>
      <c r="E1083" s="8">
        <v>2.2447147171659454</v>
      </c>
      <c r="F1083" s="7">
        <v>0.4454909090909091</v>
      </c>
      <c r="G1083">
        <v>2021</v>
      </c>
    </row>
    <row r="1084" spans="1:7" x14ac:dyDescent="0.25">
      <c r="A1084" t="s">
        <v>14</v>
      </c>
      <c r="B1084" s="3">
        <v>44317</v>
      </c>
      <c r="C1084" s="9">
        <v>491.63</v>
      </c>
      <c r="D1084">
        <v>1100</v>
      </c>
      <c r="E1084" s="8">
        <v>2.2374549966438173</v>
      </c>
      <c r="F1084" s="7">
        <v>0.44693636363636363</v>
      </c>
      <c r="G1084">
        <v>2021</v>
      </c>
    </row>
    <row r="1085" spans="1:7" x14ac:dyDescent="0.25">
      <c r="A1085" t="s">
        <v>14</v>
      </c>
      <c r="B1085" s="3">
        <v>44348</v>
      </c>
      <c r="C1085" s="9">
        <v>495.76</v>
      </c>
      <c r="D1085">
        <v>1100</v>
      </c>
      <c r="E1085" s="8">
        <v>2.2188155559141522</v>
      </c>
      <c r="F1085" s="7">
        <v>0.45069090909090909</v>
      </c>
      <c r="G1085">
        <v>2021</v>
      </c>
    </row>
    <row r="1086" spans="1:7" x14ac:dyDescent="0.25">
      <c r="A1086" t="s">
        <v>14</v>
      </c>
      <c r="B1086" s="3">
        <v>44378</v>
      </c>
      <c r="C1086" s="9">
        <v>492.3</v>
      </c>
      <c r="D1086">
        <v>1100</v>
      </c>
      <c r="E1086" s="8">
        <v>2.2344099126548853</v>
      </c>
      <c r="F1086" s="7">
        <v>0.44754545454545458</v>
      </c>
      <c r="G1086">
        <v>2021</v>
      </c>
    </row>
    <row r="1087" spans="1:7" x14ac:dyDescent="0.25">
      <c r="A1087" t="s">
        <v>14</v>
      </c>
      <c r="B1087" s="3">
        <v>44409</v>
      </c>
      <c r="C1087" s="9">
        <v>490.93</v>
      </c>
      <c r="D1087">
        <v>1100</v>
      </c>
      <c r="E1087" s="8">
        <v>2.2406453058480844</v>
      </c>
      <c r="F1087" s="7">
        <v>0.44630000000000003</v>
      </c>
      <c r="G1087">
        <v>2021</v>
      </c>
    </row>
    <row r="1088" spans="1:7" x14ac:dyDescent="0.25">
      <c r="A1088" t="s">
        <v>14</v>
      </c>
      <c r="B1088" s="3">
        <v>44440</v>
      </c>
      <c r="C1088" s="9">
        <v>476.63</v>
      </c>
      <c r="D1088">
        <v>1100</v>
      </c>
      <c r="E1088" s="8">
        <v>2.3078698361412417</v>
      </c>
      <c r="F1088" s="7">
        <v>0.43330000000000002</v>
      </c>
      <c r="G1088">
        <v>2021</v>
      </c>
    </row>
    <row r="1089" spans="1:7" x14ac:dyDescent="0.25">
      <c r="A1089" t="s">
        <v>14</v>
      </c>
      <c r="B1089" s="3">
        <v>44470</v>
      </c>
      <c r="C1089" s="9">
        <v>491.12</v>
      </c>
      <c r="D1089">
        <v>1100</v>
      </c>
      <c r="E1089" s="8">
        <v>2.239778465548135</v>
      </c>
      <c r="F1089" s="7">
        <v>0.4464727272727273</v>
      </c>
      <c r="G1089">
        <v>2021</v>
      </c>
    </row>
    <row r="1090" spans="1:7" x14ac:dyDescent="0.25">
      <c r="A1090" t="s">
        <v>14</v>
      </c>
      <c r="B1090" s="3">
        <v>44501</v>
      </c>
      <c r="C1090" s="9">
        <v>508.91</v>
      </c>
      <c r="D1090">
        <v>1100</v>
      </c>
      <c r="E1090" s="8">
        <v>2.1614823839185711</v>
      </c>
      <c r="F1090" s="7">
        <v>0.46264545454545458</v>
      </c>
      <c r="G1090">
        <v>2021</v>
      </c>
    </row>
    <row r="1091" spans="1:7" x14ac:dyDescent="0.25">
      <c r="A1091" t="s">
        <v>14</v>
      </c>
      <c r="B1091" s="3">
        <v>44531</v>
      </c>
      <c r="C1091" s="9">
        <v>510.82</v>
      </c>
      <c r="D1091">
        <v>1100</v>
      </c>
      <c r="E1091" s="8">
        <v>2.1534004150189889</v>
      </c>
      <c r="F1091" s="7">
        <v>0.46438181818181817</v>
      </c>
      <c r="G1091">
        <v>2021</v>
      </c>
    </row>
    <row r="1092" spans="1:7" x14ac:dyDescent="0.25">
      <c r="A1092" t="s">
        <v>14</v>
      </c>
      <c r="B1092" s="3">
        <v>44562</v>
      </c>
      <c r="C1092" s="9">
        <v>538.65</v>
      </c>
      <c r="D1092">
        <v>1212</v>
      </c>
      <c r="E1092" s="8">
        <v>2.250069618490671</v>
      </c>
      <c r="F1092" s="7">
        <v>0.44443069306930694</v>
      </c>
      <c r="G1092">
        <v>2022</v>
      </c>
    </row>
    <row r="1093" spans="1:7" x14ac:dyDescent="0.25">
      <c r="A1093" t="s">
        <v>14</v>
      </c>
      <c r="B1093" s="3">
        <v>44593</v>
      </c>
      <c r="C1093" s="9">
        <v>549.33000000000004</v>
      </c>
      <c r="D1093">
        <v>1212</v>
      </c>
      <c r="E1093" s="8">
        <v>2.2063240675004092</v>
      </c>
      <c r="F1093" s="7">
        <v>0.45324257425742576</v>
      </c>
      <c r="G1093">
        <v>2022</v>
      </c>
    </row>
    <row r="1094" spans="1:7" x14ac:dyDescent="0.25">
      <c r="A1094" t="s">
        <v>14</v>
      </c>
      <c r="B1094" s="3">
        <v>44621</v>
      </c>
      <c r="C1094" s="9">
        <v>567.84</v>
      </c>
      <c r="D1094">
        <v>1212</v>
      </c>
      <c r="E1094" s="8">
        <v>2.1344040574809804</v>
      </c>
      <c r="F1094" s="7">
        <v>0.46851485148514854</v>
      </c>
      <c r="G1094">
        <v>2022</v>
      </c>
    </row>
    <row r="1095" spans="1:7" x14ac:dyDescent="0.25">
      <c r="A1095" t="s">
        <v>14</v>
      </c>
      <c r="B1095" s="3">
        <v>44652</v>
      </c>
      <c r="C1095" s="9">
        <v>573.70000000000005</v>
      </c>
      <c r="D1095">
        <v>1212</v>
      </c>
      <c r="E1095" s="8">
        <v>2.1126024054383823</v>
      </c>
      <c r="F1095" s="7">
        <v>0.47334983498349836</v>
      </c>
      <c r="G1095">
        <v>2022</v>
      </c>
    </row>
    <row r="1096" spans="1:7" x14ac:dyDescent="0.25">
      <c r="A1096" t="s">
        <v>14</v>
      </c>
      <c r="B1096" s="3">
        <v>44682</v>
      </c>
      <c r="C1096" s="9">
        <v>567.66999999999996</v>
      </c>
      <c r="D1096">
        <v>1212</v>
      </c>
      <c r="E1096" s="8">
        <v>2.135043246956859</v>
      </c>
      <c r="F1096" s="7">
        <v>0.46837458745874583</v>
      </c>
      <c r="G1096">
        <v>2022</v>
      </c>
    </row>
    <row r="1097" spans="1:7" x14ac:dyDescent="0.25">
      <c r="A1097" t="s">
        <v>14</v>
      </c>
      <c r="B1097" s="3">
        <v>44713</v>
      </c>
      <c r="C1097" s="9">
        <v>586.73</v>
      </c>
      <c r="D1097">
        <v>1212</v>
      </c>
      <c r="E1097" s="8">
        <v>2.0656860907061168</v>
      </c>
      <c r="F1097" s="7">
        <v>0.48410066006600661</v>
      </c>
      <c r="G1097">
        <v>2022</v>
      </c>
    </row>
    <row r="1098" spans="1:7" x14ac:dyDescent="0.25">
      <c r="A1098" t="s">
        <v>14</v>
      </c>
      <c r="B1098" s="3">
        <v>44743</v>
      </c>
      <c r="C1098" s="9">
        <v>572.63</v>
      </c>
      <c r="D1098">
        <v>1212</v>
      </c>
      <c r="E1098" s="8">
        <v>2.1165499537222989</v>
      </c>
      <c r="F1098" s="7">
        <v>0.47246699669966996</v>
      </c>
      <c r="G1098">
        <v>2022</v>
      </c>
    </row>
    <row r="1099" spans="1:7" x14ac:dyDescent="0.25">
      <c r="A1099" t="s">
        <v>14</v>
      </c>
      <c r="B1099" s="3">
        <v>44774</v>
      </c>
      <c r="C1099" s="9">
        <v>568.21</v>
      </c>
      <c r="D1099">
        <v>1212</v>
      </c>
      <c r="E1099" s="8">
        <v>2.1330142024955561</v>
      </c>
      <c r="F1099" s="7">
        <v>0.46882013201320133</v>
      </c>
      <c r="G1099">
        <v>2022</v>
      </c>
    </row>
    <row r="1100" spans="1:7" x14ac:dyDescent="0.25">
      <c r="A1100" t="s">
        <v>14</v>
      </c>
      <c r="B1100" s="3">
        <v>44805</v>
      </c>
      <c r="C1100" s="9">
        <v>562.32000000000005</v>
      </c>
      <c r="D1100">
        <v>1212</v>
      </c>
      <c r="E1100" s="8">
        <v>2.155356380708493</v>
      </c>
      <c r="F1100" s="7">
        <v>0.46396039603960398</v>
      </c>
      <c r="G1100">
        <v>2022</v>
      </c>
    </row>
    <row r="1101" spans="1:7" x14ac:dyDescent="0.25">
      <c r="A1101" t="s">
        <v>14</v>
      </c>
      <c r="B1101" s="3">
        <v>44835</v>
      </c>
      <c r="C1101" s="9">
        <v>559.57000000000005</v>
      </c>
      <c r="D1101">
        <v>1212</v>
      </c>
      <c r="E1101" s="8">
        <v>2.1659488535840019</v>
      </c>
      <c r="F1101" s="7">
        <v>0.46169141914191425</v>
      </c>
      <c r="G1101">
        <v>2022</v>
      </c>
    </row>
    <row r="1102" spans="1:7" x14ac:dyDescent="0.25">
      <c r="A1102" t="s">
        <v>14</v>
      </c>
      <c r="B1102" s="3">
        <v>44866</v>
      </c>
      <c r="C1102" s="9">
        <v>552.42999999999995</v>
      </c>
      <c r="D1102">
        <v>1212</v>
      </c>
      <c r="E1102" s="8">
        <v>2.1939431240157128</v>
      </c>
      <c r="F1102" s="7">
        <v>0.45580033003300324</v>
      </c>
      <c r="G1102">
        <v>2022</v>
      </c>
    </row>
    <row r="1103" spans="1:7" x14ac:dyDescent="0.25">
      <c r="A1103" t="s">
        <v>14</v>
      </c>
      <c r="B1103" s="3">
        <v>44896</v>
      </c>
      <c r="C1103" s="9">
        <v>561.84</v>
      </c>
      <c r="D1103">
        <v>1212</v>
      </c>
      <c r="E1103" s="8">
        <v>2.1571977787270398</v>
      </c>
      <c r="F1103" s="7">
        <v>0.46356435643564359</v>
      </c>
      <c r="G1103">
        <v>2022</v>
      </c>
    </row>
    <row r="1104" spans="1:7" x14ac:dyDescent="0.25">
      <c r="A1104" t="s">
        <v>14</v>
      </c>
      <c r="B1104" s="3">
        <v>44927</v>
      </c>
      <c r="C1104" s="9">
        <v>600.05999999999995</v>
      </c>
      <c r="D1104">
        <v>1302</v>
      </c>
      <c r="E1104" s="8">
        <v>2.1697830216978304</v>
      </c>
      <c r="F1104" s="7">
        <v>0.4608755760368663</v>
      </c>
      <c r="G1104">
        <v>2023</v>
      </c>
    </row>
    <row r="1105" spans="1:7" x14ac:dyDescent="0.25">
      <c r="A1105" t="s">
        <v>14</v>
      </c>
      <c r="B1105" s="3">
        <v>44958</v>
      </c>
      <c r="C1105" s="9">
        <v>600.1</v>
      </c>
      <c r="D1105">
        <v>1302</v>
      </c>
      <c r="E1105" s="8">
        <v>2.1696383936010664</v>
      </c>
      <c r="F1105" s="7">
        <v>0.4609062980030722</v>
      </c>
      <c r="G1105">
        <v>2023</v>
      </c>
    </row>
    <row r="1106" spans="1:7" x14ac:dyDescent="0.25">
      <c r="A1106" t="s">
        <v>14</v>
      </c>
      <c r="B1106" s="3">
        <v>44986</v>
      </c>
      <c r="C1106" s="9">
        <v>579.57000000000005</v>
      </c>
      <c r="D1106">
        <v>1302</v>
      </c>
      <c r="E1106" s="8">
        <v>2.246493089704436</v>
      </c>
      <c r="F1106" s="7">
        <v>0.4451382488479263</v>
      </c>
      <c r="G1106">
        <v>2023</v>
      </c>
    </row>
    <row r="1107" spans="1:7" x14ac:dyDescent="0.25">
      <c r="A1107" t="s">
        <v>14</v>
      </c>
      <c r="B1107" s="3">
        <v>45017</v>
      </c>
      <c r="C1107" s="9">
        <v>585.41999999999996</v>
      </c>
      <c r="D1107">
        <v>1302</v>
      </c>
      <c r="E1107" s="8">
        <v>2.224044275904479</v>
      </c>
      <c r="F1107" s="7">
        <v>0.44963133640552994</v>
      </c>
      <c r="G1107">
        <v>2023</v>
      </c>
    </row>
    <row r="1108" spans="1:7" x14ac:dyDescent="0.25">
      <c r="A1108" t="s">
        <v>14</v>
      </c>
      <c r="B1108" s="3">
        <v>45047</v>
      </c>
      <c r="C1108" s="9">
        <v>580.95000000000005</v>
      </c>
      <c r="D1108">
        <v>1320</v>
      </c>
      <c r="E1108" s="8">
        <v>2.2721404595920474</v>
      </c>
      <c r="F1108" s="7">
        <v>0.44011363636363637</v>
      </c>
      <c r="G1108">
        <v>2023</v>
      </c>
    </row>
    <row r="1109" spans="1:7" x14ac:dyDescent="0.25">
      <c r="A1109" t="s">
        <v>14</v>
      </c>
      <c r="B1109" s="3">
        <v>45078</v>
      </c>
      <c r="C1109" s="9">
        <v>604.89</v>
      </c>
      <c r="D1109">
        <v>1320</v>
      </c>
      <c r="E1109" s="8">
        <v>2.1822149481723949</v>
      </c>
      <c r="F1109" s="7">
        <v>0.45824999999999999</v>
      </c>
      <c r="G1109">
        <v>2023</v>
      </c>
    </row>
    <row r="1110" spans="1:7" x14ac:dyDescent="0.25">
      <c r="A1110" t="s">
        <v>14</v>
      </c>
      <c r="B1110" s="3">
        <v>45108</v>
      </c>
      <c r="C1110" s="9">
        <v>581.30999999999995</v>
      </c>
      <c r="D1110">
        <v>1320</v>
      </c>
      <c r="E1110" s="8">
        <v>2.2707333436548489</v>
      </c>
      <c r="F1110" s="7">
        <v>0.44038636363636358</v>
      </c>
      <c r="G1110">
        <v>2023</v>
      </c>
    </row>
    <row r="1111" spans="1:7" x14ac:dyDescent="0.25">
      <c r="A1111" t="s">
        <v>14</v>
      </c>
      <c r="B1111" s="3">
        <v>45139</v>
      </c>
      <c r="C1111" s="9">
        <v>565.07000000000005</v>
      </c>
      <c r="D1111">
        <v>1320</v>
      </c>
      <c r="E1111" s="8">
        <v>2.3359937706832778</v>
      </c>
      <c r="F1111" s="7">
        <v>0.42808333333333337</v>
      </c>
      <c r="G1111">
        <v>2023</v>
      </c>
    </row>
    <row r="1112" spans="1:7" x14ac:dyDescent="0.25">
      <c r="A1112" t="s">
        <v>14</v>
      </c>
      <c r="B1112" s="3">
        <v>45170</v>
      </c>
      <c r="C1112" s="9">
        <v>562.6</v>
      </c>
      <c r="D1112">
        <v>1320</v>
      </c>
      <c r="E1112" s="8">
        <v>2.3462495556345537</v>
      </c>
      <c r="F1112" s="7">
        <v>0.42621212121212121</v>
      </c>
      <c r="G1112">
        <v>2023</v>
      </c>
    </row>
    <row r="1113" spans="1:7" x14ac:dyDescent="0.25">
      <c r="A1113" t="s">
        <v>14</v>
      </c>
      <c r="B1113" s="3">
        <v>45200</v>
      </c>
      <c r="C1113" s="9">
        <v>554.88</v>
      </c>
      <c r="D1113">
        <v>1320</v>
      </c>
      <c r="E1113" s="8">
        <v>2.378892733564014</v>
      </c>
      <c r="F1113" s="7">
        <v>0.42036363636363638</v>
      </c>
      <c r="G1113">
        <v>2023</v>
      </c>
    </row>
    <row r="1114" spans="1:7" x14ac:dyDescent="0.25">
      <c r="A1114" t="s">
        <v>14</v>
      </c>
      <c r="B1114" s="3">
        <v>45231</v>
      </c>
      <c r="C1114" s="9">
        <v>548.33000000000004</v>
      </c>
      <c r="D1114">
        <v>1320</v>
      </c>
      <c r="E1114" s="8">
        <v>2.4073094669268507</v>
      </c>
      <c r="F1114" s="7">
        <v>0.41540151515151519</v>
      </c>
      <c r="G1114">
        <v>2023</v>
      </c>
    </row>
    <row r="1115" spans="1:7" x14ac:dyDescent="0.25">
      <c r="A1115" t="s">
        <v>14</v>
      </c>
      <c r="B1115" s="3">
        <v>45261</v>
      </c>
      <c r="C1115" s="9">
        <v>542.29999999999995</v>
      </c>
      <c r="D1115">
        <v>1320</v>
      </c>
      <c r="E1115" s="8">
        <v>2.4340770791075053</v>
      </c>
      <c r="F1115" s="7">
        <v>0.41083333333333327</v>
      </c>
      <c r="G1115">
        <v>2023</v>
      </c>
    </row>
    <row r="1116" spans="1:7" x14ac:dyDescent="0.25">
      <c r="A1116" t="s">
        <v>14</v>
      </c>
      <c r="B1116" s="3">
        <v>45292</v>
      </c>
      <c r="C1116" s="9">
        <v>559.77</v>
      </c>
      <c r="D1116">
        <v>1412</v>
      </c>
      <c r="E1116" s="8">
        <v>2.5224645836682926</v>
      </c>
      <c r="F1116" s="7">
        <v>0.39643767705382432</v>
      </c>
      <c r="G1116">
        <v>2024</v>
      </c>
    </row>
    <row r="1117" spans="1:7" x14ac:dyDescent="0.25">
      <c r="A1117" t="s">
        <v>14</v>
      </c>
      <c r="B1117" s="3">
        <v>45323</v>
      </c>
      <c r="C1117" s="9">
        <v>564.5</v>
      </c>
      <c r="D1117">
        <v>1412</v>
      </c>
      <c r="E1117" s="8">
        <v>2.5013286093888398</v>
      </c>
      <c r="F1117" s="7">
        <v>0.39978753541076489</v>
      </c>
      <c r="G1117">
        <v>2024</v>
      </c>
    </row>
    <row r="1118" spans="1:7" x14ac:dyDescent="0.25">
      <c r="A1118" t="s">
        <v>14</v>
      </c>
      <c r="B1118" s="3">
        <v>45352</v>
      </c>
      <c r="C1118" s="9">
        <v>583.23</v>
      </c>
      <c r="D1118">
        <v>1412</v>
      </c>
      <c r="E1118" s="8">
        <v>2.4210002914802051</v>
      </c>
      <c r="F1118" s="7">
        <v>0.41305240793201137</v>
      </c>
      <c r="G1118">
        <v>2024</v>
      </c>
    </row>
    <row r="1119" spans="1:7" x14ac:dyDescent="0.25">
      <c r="A1119" t="s">
        <v>14</v>
      </c>
      <c r="B1119" s="3">
        <v>45383</v>
      </c>
      <c r="C1119" s="9">
        <v>614.75</v>
      </c>
      <c r="D1119">
        <v>1412</v>
      </c>
      <c r="E1119" s="8">
        <v>2.2968686457909717</v>
      </c>
      <c r="F1119" s="7">
        <v>0.43537535410764872</v>
      </c>
      <c r="G1119">
        <v>2024</v>
      </c>
    </row>
    <row r="1120" spans="1:7" x14ac:dyDescent="0.25">
      <c r="A1120" t="s">
        <v>14</v>
      </c>
      <c r="B1120" s="3">
        <v>45413</v>
      </c>
      <c r="C1120" s="9">
        <v>620.66999999999996</v>
      </c>
      <c r="D1120">
        <v>1412</v>
      </c>
      <c r="E1120" s="8">
        <v>2.2749609293183175</v>
      </c>
      <c r="F1120" s="7">
        <v>0.43956798866855523</v>
      </c>
      <c r="G1120">
        <v>2024</v>
      </c>
    </row>
    <row r="1121" spans="1:7" x14ac:dyDescent="0.25">
      <c r="A1121" t="s">
        <v>14</v>
      </c>
      <c r="B1121" s="3">
        <v>45444</v>
      </c>
      <c r="C1121" s="9">
        <v>597.32000000000005</v>
      </c>
      <c r="D1121">
        <v>1412</v>
      </c>
      <c r="E1121" s="8">
        <v>2.363892051161856</v>
      </c>
      <c r="F1121" s="7">
        <v>0.42303116147308784</v>
      </c>
      <c r="G1121">
        <v>2024</v>
      </c>
    </row>
    <row r="1122" spans="1:7" x14ac:dyDescent="0.25">
      <c r="A1122" t="s">
        <v>14</v>
      </c>
      <c r="B1122" s="3">
        <v>45474</v>
      </c>
      <c r="C1122" s="9">
        <v>572.38</v>
      </c>
      <c r="D1122">
        <v>1412</v>
      </c>
      <c r="E1122" s="8">
        <v>2.4668926237814039</v>
      </c>
      <c r="F1122" s="7">
        <v>0.40536827195467423</v>
      </c>
      <c r="G1122">
        <v>2024</v>
      </c>
    </row>
    <row r="1123" spans="1:7" x14ac:dyDescent="0.25">
      <c r="A1123" t="s">
        <v>14</v>
      </c>
      <c r="B1123" s="3">
        <v>45505</v>
      </c>
      <c r="C1123" s="9">
        <v>548.9</v>
      </c>
      <c r="D1123">
        <v>1412</v>
      </c>
      <c r="E1123" s="8">
        <v>2.5724175623975225</v>
      </c>
      <c r="F1123" s="7">
        <v>0.38873937677053821</v>
      </c>
      <c r="G1123">
        <v>2024</v>
      </c>
    </row>
    <row r="1124" spans="1:7" x14ac:dyDescent="0.25">
      <c r="A1124" t="s">
        <v>14</v>
      </c>
      <c r="B1124" s="3">
        <v>45536</v>
      </c>
      <c r="C1124" s="9">
        <v>552.35</v>
      </c>
      <c r="D1124">
        <v>1412</v>
      </c>
      <c r="E1124" s="8">
        <v>2.5563501403095863</v>
      </c>
      <c r="F1124" s="7">
        <v>0.39118271954674222</v>
      </c>
      <c r="G1124">
        <v>2024</v>
      </c>
    </row>
    <row r="1125" spans="1:7" x14ac:dyDescent="0.25">
      <c r="A1125" t="s">
        <v>14</v>
      </c>
      <c r="B1125" s="3">
        <v>45566</v>
      </c>
      <c r="C1125" s="9">
        <v>566.46</v>
      </c>
      <c r="D1125">
        <v>1412</v>
      </c>
      <c r="E1125" s="8">
        <v>2.4926737986795184</v>
      </c>
      <c r="F1125" s="7">
        <v>0.40117563739376771</v>
      </c>
      <c r="G1125">
        <v>2024</v>
      </c>
    </row>
    <row r="1126" spans="1:7" x14ac:dyDescent="0.25">
      <c r="A1126" t="s">
        <v>14</v>
      </c>
      <c r="B1126" s="3">
        <v>45597</v>
      </c>
      <c r="C1126" s="9">
        <v>590.82000000000005</v>
      </c>
      <c r="D1126">
        <v>1412</v>
      </c>
      <c r="E1126" s="8">
        <v>2.3898987847398527</v>
      </c>
      <c r="F1126" s="7">
        <v>0.41842776203966009</v>
      </c>
      <c r="G1126">
        <v>2024</v>
      </c>
    </row>
    <row r="1127" spans="1:7" x14ac:dyDescent="0.25">
      <c r="A1127" t="s">
        <v>14</v>
      </c>
      <c r="B1127" s="3">
        <v>45627</v>
      </c>
      <c r="C1127" s="9">
        <v>606.91</v>
      </c>
      <c r="D1127">
        <v>1412</v>
      </c>
      <c r="E1127" s="8">
        <v>2.326539355093836</v>
      </c>
      <c r="F1127" s="7">
        <v>0.42982294617563738</v>
      </c>
      <c r="G1127">
        <v>2024</v>
      </c>
    </row>
    <row r="1128" spans="1:7" x14ac:dyDescent="0.25">
      <c r="A1128" t="s">
        <v>14</v>
      </c>
      <c r="B1128" s="3">
        <v>45658</v>
      </c>
      <c r="C1128" s="9">
        <v>618.64</v>
      </c>
      <c r="D1128">
        <v>1518</v>
      </c>
      <c r="E1128" s="8">
        <v>2.4537695590327169</v>
      </c>
      <c r="F1128" s="7">
        <v>0.40753623188405796</v>
      </c>
      <c r="G1128">
        <v>2025</v>
      </c>
    </row>
    <row r="1129" spans="1:7" x14ac:dyDescent="0.25">
      <c r="A1129" t="s">
        <v>14</v>
      </c>
      <c r="B1129" s="3">
        <v>45689</v>
      </c>
      <c r="C1129" s="9">
        <v>634.41</v>
      </c>
      <c r="D1129">
        <v>1518</v>
      </c>
      <c r="E1129" s="8">
        <v>2.3927743888021942</v>
      </c>
      <c r="F1129" s="7">
        <v>0.41792490118577075</v>
      </c>
      <c r="G1129">
        <v>2025</v>
      </c>
    </row>
    <row r="1130" spans="1:7" x14ac:dyDescent="0.25">
      <c r="A1130" t="s">
        <v>14</v>
      </c>
      <c r="B1130" s="3">
        <v>45717</v>
      </c>
      <c r="C1130" s="9">
        <v>626.89</v>
      </c>
      <c r="D1130">
        <v>1518</v>
      </c>
      <c r="E1130" s="8">
        <v>2.4214774521845936</v>
      </c>
      <c r="F1130" s="7">
        <v>0.41297101449275364</v>
      </c>
      <c r="G1130">
        <v>2025</v>
      </c>
    </row>
    <row r="1131" spans="1:7" x14ac:dyDescent="0.25">
      <c r="A1131" t="s">
        <v>14</v>
      </c>
      <c r="B1131" s="3">
        <v>45748</v>
      </c>
      <c r="C1131" s="9">
        <v>641.57000000000005</v>
      </c>
      <c r="D1131">
        <v>1518</v>
      </c>
      <c r="E1131" s="8">
        <v>2.3660707327337622</v>
      </c>
      <c r="F1131" s="7">
        <v>0.42264163372859026</v>
      </c>
      <c r="G1131">
        <v>2025</v>
      </c>
    </row>
    <row r="1132" spans="1:7" x14ac:dyDescent="0.25">
      <c r="A1132" t="s">
        <v>14</v>
      </c>
      <c r="B1132" s="3">
        <v>45778</v>
      </c>
      <c r="C1132" s="9">
        <v>636.73</v>
      </c>
      <c r="D1132">
        <v>1518</v>
      </c>
      <c r="E1132" s="8">
        <v>2.3840560363105241</v>
      </c>
      <c r="F1132" s="7">
        <v>0.41945322793148881</v>
      </c>
      <c r="G1132">
        <v>2025</v>
      </c>
    </row>
    <row r="1133" spans="1:7" x14ac:dyDescent="0.25">
      <c r="A1133" t="s">
        <v>14</v>
      </c>
      <c r="B1133" s="3">
        <v>45809</v>
      </c>
      <c r="C1133" s="9">
        <v>636.16</v>
      </c>
      <c r="D1133">
        <v>1518</v>
      </c>
      <c r="E1133" s="8">
        <v>2.3861921529175052</v>
      </c>
      <c r="F1133" s="7">
        <v>0.41907773386034253</v>
      </c>
      <c r="G1133">
        <v>2025</v>
      </c>
    </row>
    <row r="1134" spans="1:7" x14ac:dyDescent="0.25">
      <c r="A1134" t="s">
        <v>15</v>
      </c>
      <c r="B1134" s="3">
        <v>42005</v>
      </c>
      <c r="C1134" s="9">
        <v>277.56</v>
      </c>
      <c r="D1134">
        <v>788</v>
      </c>
      <c r="E1134" s="8">
        <v>2.8390257962242398</v>
      </c>
      <c r="F1134" s="7">
        <v>0.35223350253807106</v>
      </c>
      <c r="G1134">
        <v>2015</v>
      </c>
    </row>
    <row r="1135" spans="1:7" x14ac:dyDescent="0.25">
      <c r="A1135" t="s">
        <v>15</v>
      </c>
      <c r="B1135" s="3">
        <v>42036</v>
      </c>
      <c r="C1135" s="9">
        <v>289.64999999999998</v>
      </c>
      <c r="D1135">
        <v>788</v>
      </c>
      <c r="E1135" s="8">
        <v>2.7205247712756777</v>
      </c>
      <c r="F1135" s="7">
        <v>0.36757614213197964</v>
      </c>
      <c r="G1135">
        <v>2015</v>
      </c>
    </row>
    <row r="1136" spans="1:7" x14ac:dyDescent="0.25">
      <c r="A1136" t="s">
        <v>15</v>
      </c>
      <c r="B1136" s="3">
        <v>42064</v>
      </c>
      <c r="C1136" s="9">
        <v>289.20999999999998</v>
      </c>
      <c r="D1136">
        <v>788</v>
      </c>
      <c r="E1136" s="8">
        <v>2.7246637391514819</v>
      </c>
      <c r="F1136" s="7">
        <v>0.36701776649746193</v>
      </c>
      <c r="G1136">
        <v>2015</v>
      </c>
    </row>
    <row r="1137" spans="1:7" x14ac:dyDescent="0.25">
      <c r="A1137" t="s">
        <v>15</v>
      </c>
      <c r="B1137" s="3">
        <v>42095</v>
      </c>
      <c r="C1137" s="9">
        <v>300.73</v>
      </c>
      <c r="D1137">
        <v>788</v>
      </c>
      <c r="E1137" s="8">
        <v>2.6202906261430519</v>
      </c>
      <c r="F1137" s="7">
        <v>0.38163705583756347</v>
      </c>
      <c r="G1137">
        <v>2015</v>
      </c>
    </row>
    <row r="1138" spans="1:7" x14ac:dyDescent="0.25">
      <c r="A1138" t="s">
        <v>15</v>
      </c>
      <c r="B1138" s="3">
        <v>42125</v>
      </c>
      <c r="C1138" s="9">
        <v>312.41000000000003</v>
      </c>
      <c r="D1138">
        <v>788</v>
      </c>
      <c r="E1138" s="8">
        <v>2.5223264300118431</v>
      </c>
      <c r="F1138" s="7">
        <v>0.39645939086294418</v>
      </c>
      <c r="G1138">
        <v>2015</v>
      </c>
    </row>
    <row r="1139" spans="1:7" x14ac:dyDescent="0.25">
      <c r="A1139" t="s">
        <v>15</v>
      </c>
      <c r="B1139" s="3">
        <v>42156</v>
      </c>
      <c r="C1139" s="9">
        <v>302.76</v>
      </c>
      <c r="D1139">
        <v>788</v>
      </c>
      <c r="E1139" s="8">
        <v>2.6027216276919014</v>
      </c>
      <c r="F1139" s="7">
        <v>0.38421319796954312</v>
      </c>
      <c r="G1139">
        <v>2015</v>
      </c>
    </row>
    <row r="1140" spans="1:7" x14ac:dyDescent="0.25">
      <c r="A1140" t="s">
        <v>15</v>
      </c>
      <c r="B1140" s="3">
        <v>42186</v>
      </c>
      <c r="C1140" s="9">
        <v>293.58</v>
      </c>
      <c r="D1140">
        <v>788</v>
      </c>
      <c r="E1140" s="8">
        <v>2.6841065467674912</v>
      </c>
      <c r="F1140" s="7">
        <v>0.37256345177664973</v>
      </c>
      <c r="G1140">
        <v>2015</v>
      </c>
    </row>
    <row r="1141" spans="1:7" x14ac:dyDescent="0.25">
      <c r="A1141" t="s">
        <v>15</v>
      </c>
      <c r="B1141" s="3">
        <v>42217</v>
      </c>
      <c r="C1141" s="9">
        <v>286.36</v>
      </c>
      <c r="D1141">
        <v>788</v>
      </c>
      <c r="E1141" s="8">
        <v>2.7517809749965076</v>
      </c>
      <c r="F1141" s="7">
        <v>0.36340101522842644</v>
      </c>
      <c r="G1141">
        <v>2015</v>
      </c>
    </row>
    <row r="1142" spans="1:7" x14ac:dyDescent="0.25">
      <c r="A1142" t="s">
        <v>15</v>
      </c>
      <c r="B1142" s="3">
        <v>42248</v>
      </c>
      <c r="C1142" s="9">
        <v>282.72000000000003</v>
      </c>
      <c r="D1142">
        <v>788</v>
      </c>
      <c r="E1142" s="8">
        <v>2.7872099603848328</v>
      </c>
      <c r="F1142" s="7">
        <v>0.35878172588832491</v>
      </c>
      <c r="G1142">
        <v>2015</v>
      </c>
    </row>
    <row r="1143" spans="1:7" x14ac:dyDescent="0.25">
      <c r="A1143" t="s">
        <v>15</v>
      </c>
      <c r="B1143" s="3">
        <v>42278</v>
      </c>
      <c r="C1143" s="9">
        <v>285.47000000000003</v>
      </c>
      <c r="D1143">
        <v>788</v>
      </c>
      <c r="E1143" s="8">
        <v>2.7603601078922475</v>
      </c>
      <c r="F1143" s="7">
        <v>0.36227157360406093</v>
      </c>
      <c r="G1143">
        <v>2015</v>
      </c>
    </row>
    <row r="1144" spans="1:7" x14ac:dyDescent="0.25">
      <c r="A1144" t="s">
        <v>15</v>
      </c>
      <c r="B1144" s="3">
        <v>42309</v>
      </c>
      <c r="C1144" s="9">
        <v>302.14</v>
      </c>
      <c r="D1144">
        <v>788</v>
      </c>
      <c r="E1144" s="8">
        <v>2.6080624875885352</v>
      </c>
      <c r="F1144" s="7">
        <v>0.38342639593908628</v>
      </c>
      <c r="G1144">
        <v>2015</v>
      </c>
    </row>
    <row r="1145" spans="1:7" x14ac:dyDescent="0.25">
      <c r="A1145" t="s">
        <v>15</v>
      </c>
      <c r="B1145" s="3">
        <v>42339</v>
      </c>
      <c r="C1145" s="9">
        <v>309.92</v>
      </c>
      <c r="D1145">
        <v>788</v>
      </c>
      <c r="E1145" s="8">
        <v>2.5425916365513679</v>
      </c>
      <c r="F1145" s="7">
        <v>0.39329949238578682</v>
      </c>
      <c r="G1145">
        <v>2015</v>
      </c>
    </row>
    <row r="1146" spans="1:7" x14ac:dyDescent="0.25">
      <c r="A1146" t="s">
        <v>15</v>
      </c>
      <c r="B1146" s="3">
        <v>42370</v>
      </c>
      <c r="C1146" s="9">
        <v>329.2</v>
      </c>
      <c r="D1146">
        <v>880</v>
      </c>
      <c r="E1146" s="8">
        <v>2.6731470230862699</v>
      </c>
      <c r="F1146" s="7">
        <v>0.37409090909090909</v>
      </c>
      <c r="G1146">
        <v>2016</v>
      </c>
    </row>
    <row r="1147" spans="1:7" x14ac:dyDescent="0.25">
      <c r="A1147" t="s">
        <v>15</v>
      </c>
      <c r="B1147" s="3">
        <v>42401</v>
      </c>
      <c r="C1147" s="9">
        <v>331.79</v>
      </c>
      <c r="D1147">
        <v>880</v>
      </c>
      <c r="E1147" s="8">
        <v>2.6522800566623466</v>
      </c>
      <c r="F1147" s="7">
        <v>0.37703409090909096</v>
      </c>
      <c r="G1147">
        <v>2016</v>
      </c>
    </row>
    <row r="1148" spans="1:7" x14ac:dyDescent="0.25">
      <c r="A1148" t="s">
        <v>15</v>
      </c>
      <c r="B1148" s="3">
        <v>42430</v>
      </c>
      <c r="C1148" s="9">
        <v>325.98</v>
      </c>
      <c r="D1148">
        <v>880</v>
      </c>
      <c r="E1148" s="8">
        <v>2.6995521197619485</v>
      </c>
      <c r="F1148" s="7">
        <v>0.3704318181818182</v>
      </c>
      <c r="G1148">
        <v>2016</v>
      </c>
    </row>
    <row r="1149" spans="1:7" x14ac:dyDescent="0.25">
      <c r="A1149" t="s">
        <v>15</v>
      </c>
      <c r="B1149" s="3">
        <v>42461</v>
      </c>
      <c r="C1149" s="9">
        <v>334.49</v>
      </c>
      <c r="D1149">
        <v>880</v>
      </c>
      <c r="E1149" s="8">
        <v>2.6308708780531553</v>
      </c>
      <c r="F1149" s="7">
        <v>0.38010227272727276</v>
      </c>
      <c r="G1149">
        <v>2016</v>
      </c>
    </row>
    <row r="1150" spans="1:7" x14ac:dyDescent="0.25">
      <c r="A1150" t="s">
        <v>15</v>
      </c>
      <c r="B1150" s="3">
        <v>42491</v>
      </c>
      <c r="C1150" s="9">
        <v>337.49</v>
      </c>
      <c r="D1150">
        <v>880</v>
      </c>
      <c r="E1150" s="8">
        <v>2.6074846662123323</v>
      </c>
      <c r="F1150" s="7">
        <v>0.38351136363636362</v>
      </c>
      <c r="G1150">
        <v>2016</v>
      </c>
    </row>
    <row r="1151" spans="1:7" x14ac:dyDescent="0.25">
      <c r="A1151" t="s">
        <v>15</v>
      </c>
      <c r="B1151" s="3">
        <v>42522</v>
      </c>
      <c r="C1151" s="9">
        <v>352.12</v>
      </c>
      <c r="D1151">
        <v>880</v>
      </c>
      <c r="E1151" s="8">
        <v>2.4991480177212315</v>
      </c>
      <c r="F1151" s="7">
        <v>0.40013636363636362</v>
      </c>
      <c r="G1151">
        <v>2016</v>
      </c>
    </row>
    <row r="1152" spans="1:7" x14ac:dyDescent="0.25">
      <c r="A1152" t="s">
        <v>15</v>
      </c>
      <c r="B1152" s="3">
        <v>42552</v>
      </c>
      <c r="C1152" s="9">
        <v>362.63</v>
      </c>
      <c r="D1152">
        <v>880</v>
      </c>
      <c r="E1152" s="8">
        <v>2.4267159363538595</v>
      </c>
      <c r="F1152" s="7">
        <v>0.41207954545454545</v>
      </c>
      <c r="G1152">
        <v>2016</v>
      </c>
    </row>
    <row r="1153" spans="1:7" x14ac:dyDescent="0.25">
      <c r="A1153" t="s">
        <v>15</v>
      </c>
      <c r="B1153" s="3">
        <v>42583</v>
      </c>
      <c r="C1153" s="9">
        <v>365.46</v>
      </c>
      <c r="D1153">
        <v>880</v>
      </c>
      <c r="E1153" s="8">
        <v>2.4079242598369182</v>
      </c>
      <c r="F1153" s="7">
        <v>0.41529545454545452</v>
      </c>
      <c r="G1153">
        <v>2016</v>
      </c>
    </row>
    <row r="1154" spans="1:7" x14ac:dyDescent="0.25">
      <c r="A1154" t="s">
        <v>15</v>
      </c>
      <c r="B1154" s="3">
        <v>42614</v>
      </c>
      <c r="C1154" s="9">
        <v>367.54</v>
      </c>
      <c r="D1154">
        <v>880</v>
      </c>
      <c r="E1154" s="8">
        <v>2.3942972193502747</v>
      </c>
      <c r="F1154" s="7">
        <v>0.41765909090909092</v>
      </c>
      <c r="G1154">
        <v>2016</v>
      </c>
    </row>
    <row r="1155" spans="1:7" x14ac:dyDescent="0.25">
      <c r="A1155" t="s">
        <v>15</v>
      </c>
      <c r="B1155" s="3">
        <v>42644</v>
      </c>
      <c r="C1155" s="9">
        <v>366.9</v>
      </c>
      <c r="D1155">
        <v>880</v>
      </c>
      <c r="E1155" s="8">
        <v>2.3984736985554647</v>
      </c>
      <c r="F1155" s="7">
        <v>0.41693181818181818</v>
      </c>
      <c r="G1155">
        <v>2016</v>
      </c>
    </row>
    <row r="1156" spans="1:7" x14ac:dyDescent="0.25">
      <c r="A1156" t="s">
        <v>15</v>
      </c>
      <c r="B1156" s="3">
        <v>42675</v>
      </c>
      <c r="C1156" s="9">
        <v>354.59</v>
      </c>
      <c r="D1156">
        <v>880</v>
      </c>
      <c r="E1156" s="8">
        <v>2.4817394737584255</v>
      </c>
      <c r="F1156" s="7">
        <v>0.40294318181818178</v>
      </c>
      <c r="G1156">
        <v>2016</v>
      </c>
    </row>
    <row r="1157" spans="1:7" x14ac:dyDescent="0.25">
      <c r="A1157" t="s">
        <v>15</v>
      </c>
      <c r="B1157" s="3">
        <v>42705</v>
      </c>
      <c r="C1157" s="9">
        <v>351.96</v>
      </c>
      <c r="D1157">
        <v>880</v>
      </c>
      <c r="E1157" s="8">
        <v>2.5002841231958177</v>
      </c>
      <c r="F1157" s="7">
        <v>0.39995454545454545</v>
      </c>
      <c r="G1157">
        <v>2016</v>
      </c>
    </row>
    <row r="1158" spans="1:7" x14ac:dyDescent="0.25">
      <c r="A1158" t="s">
        <v>15</v>
      </c>
      <c r="B1158" s="3">
        <v>42736</v>
      </c>
      <c r="C1158" s="9">
        <v>349.61</v>
      </c>
      <c r="D1158">
        <v>937</v>
      </c>
      <c r="E1158" s="8">
        <v>2.6801292869197106</v>
      </c>
      <c r="F1158" s="7">
        <v>0.37311632870864464</v>
      </c>
      <c r="G1158">
        <v>2017</v>
      </c>
    </row>
    <row r="1159" spans="1:7" x14ac:dyDescent="0.25">
      <c r="A1159" t="s">
        <v>15</v>
      </c>
      <c r="B1159" s="3">
        <v>42767</v>
      </c>
      <c r="C1159" s="9">
        <v>351.68</v>
      </c>
      <c r="D1159">
        <v>937</v>
      </c>
      <c r="E1159" s="8">
        <v>2.6643539581437672</v>
      </c>
      <c r="F1159" s="7">
        <v>0.37532550693703309</v>
      </c>
      <c r="G1159">
        <v>2017</v>
      </c>
    </row>
    <row r="1160" spans="1:7" x14ac:dyDescent="0.25">
      <c r="A1160" t="s">
        <v>15</v>
      </c>
      <c r="B1160" s="3">
        <v>42795</v>
      </c>
      <c r="C1160" s="9">
        <v>364.12</v>
      </c>
      <c r="D1160">
        <v>937</v>
      </c>
      <c r="E1160" s="8">
        <v>2.5733274744589694</v>
      </c>
      <c r="F1160" s="7">
        <v>0.38860192102454644</v>
      </c>
      <c r="G1160">
        <v>2017</v>
      </c>
    </row>
    <row r="1161" spans="1:7" x14ac:dyDescent="0.25">
      <c r="A1161" t="s">
        <v>15</v>
      </c>
      <c r="B1161" s="3">
        <v>42826</v>
      </c>
      <c r="C1161" s="9">
        <v>368.86</v>
      </c>
      <c r="D1161">
        <v>937</v>
      </c>
      <c r="E1161" s="8">
        <v>2.5402591769234939</v>
      </c>
      <c r="F1161" s="7">
        <v>0.39366061899679833</v>
      </c>
      <c r="G1161">
        <v>2017</v>
      </c>
    </row>
    <row r="1162" spans="1:7" x14ac:dyDescent="0.25">
      <c r="A1162" t="s">
        <v>15</v>
      </c>
      <c r="B1162" s="3">
        <v>42856</v>
      </c>
      <c r="C1162" s="9">
        <v>364.97</v>
      </c>
      <c r="D1162">
        <v>937</v>
      </c>
      <c r="E1162" s="8">
        <v>2.5673343014494341</v>
      </c>
      <c r="F1162" s="7">
        <v>0.38950907150480257</v>
      </c>
      <c r="G1162">
        <v>2017</v>
      </c>
    </row>
    <row r="1163" spans="1:7" x14ac:dyDescent="0.25">
      <c r="A1163" t="s">
        <v>15</v>
      </c>
      <c r="B1163" s="3">
        <v>42887</v>
      </c>
      <c r="C1163" s="9">
        <v>354.32</v>
      </c>
      <c r="D1163">
        <v>937</v>
      </c>
      <c r="E1163" s="8">
        <v>2.6445021449537141</v>
      </c>
      <c r="F1163" s="7">
        <v>0.3781430096051227</v>
      </c>
      <c r="G1163">
        <v>2017</v>
      </c>
    </row>
    <row r="1164" spans="1:7" x14ac:dyDescent="0.25">
      <c r="A1164" t="s">
        <v>15</v>
      </c>
      <c r="B1164" s="3">
        <v>42917</v>
      </c>
      <c r="C1164" s="9">
        <v>358.15</v>
      </c>
      <c r="D1164">
        <v>937</v>
      </c>
      <c r="E1164" s="8">
        <v>2.616222253245847</v>
      </c>
      <c r="F1164" s="7">
        <v>0.38223052294557097</v>
      </c>
      <c r="G1164">
        <v>2017</v>
      </c>
    </row>
    <row r="1165" spans="1:7" x14ac:dyDescent="0.25">
      <c r="A1165" t="s">
        <v>15</v>
      </c>
      <c r="B1165" s="3">
        <v>42948</v>
      </c>
      <c r="C1165" s="9">
        <v>336.12</v>
      </c>
      <c r="D1165">
        <v>937</v>
      </c>
      <c r="E1165" s="8">
        <v>2.7876948708794478</v>
      </c>
      <c r="F1165" s="7">
        <v>0.35871931696905018</v>
      </c>
      <c r="G1165">
        <v>2017</v>
      </c>
    </row>
    <row r="1166" spans="1:7" x14ac:dyDescent="0.25">
      <c r="A1166" t="s">
        <v>15</v>
      </c>
      <c r="B1166" s="3">
        <v>42979</v>
      </c>
      <c r="C1166" s="9">
        <v>323.89999999999998</v>
      </c>
      <c r="D1166">
        <v>937</v>
      </c>
      <c r="E1166" s="8">
        <v>2.8928681691880214</v>
      </c>
      <c r="F1166" s="7">
        <v>0.34567769477054427</v>
      </c>
      <c r="G1166">
        <v>2017</v>
      </c>
    </row>
    <row r="1167" spans="1:7" x14ac:dyDescent="0.25">
      <c r="A1167" t="s">
        <v>15</v>
      </c>
      <c r="B1167" s="3">
        <v>43009</v>
      </c>
      <c r="C1167" s="9">
        <v>325.08999999999997</v>
      </c>
      <c r="D1167">
        <v>937</v>
      </c>
      <c r="E1167" s="8">
        <v>2.8822787535759331</v>
      </c>
      <c r="F1167" s="7">
        <v>0.34694770544290288</v>
      </c>
      <c r="G1167">
        <v>2017</v>
      </c>
    </row>
    <row r="1168" spans="1:7" x14ac:dyDescent="0.25">
      <c r="A1168" t="s">
        <v>15</v>
      </c>
      <c r="B1168" s="3">
        <v>43040</v>
      </c>
      <c r="C1168" s="9">
        <v>328.21</v>
      </c>
      <c r="D1168">
        <v>937</v>
      </c>
      <c r="E1168" s="8">
        <v>2.8548794978824534</v>
      </c>
      <c r="F1168" s="7">
        <v>0.35027748132337244</v>
      </c>
      <c r="G1168">
        <v>2017</v>
      </c>
    </row>
    <row r="1169" spans="1:7" x14ac:dyDescent="0.25">
      <c r="A1169" t="s">
        <v>15</v>
      </c>
      <c r="B1169" s="3">
        <v>43070</v>
      </c>
      <c r="C1169" s="9">
        <v>331.18</v>
      </c>
      <c r="D1169">
        <v>937</v>
      </c>
      <c r="E1169" s="8">
        <v>2.829277130261489</v>
      </c>
      <c r="F1169" s="7">
        <v>0.35344717182497332</v>
      </c>
      <c r="G1169">
        <v>2017</v>
      </c>
    </row>
    <row r="1170" spans="1:7" x14ac:dyDescent="0.25">
      <c r="A1170" t="s">
        <v>15</v>
      </c>
      <c r="B1170" s="3">
        <v>43101</v>
      </c>
      <c r="C1170" s="9">
        <v>360.48</v>
      </c>
      <c r="D1170">
        <v>954</v>
      </c>
      <c r="E1170" s="8">
        <v>2.6464713715046604</v>
      </c>
      <c r="F1170" s="7">
        <v>0.37786163522012578</v>
      </c>
      <c r="G1170">
        <v>2018</v>
      </c>
    </row>
    <row r="1171" spans="1:7" x14ac:dyDescent="0.25">
      <c r="A1171" t="s">
        <v>15</v>
      </c>
      <c r="B1171" s="3">
        <v>43132</v>
      </c>
      <c r="C1171" s="9">
        <v>348.96</v>
      </c>
      <c r="D1171">
        <v>954</v>
      </c>
      <c r="E1171" s="8">
        <v>2.7338376891334253</v>
      </c>
      <c r="F1171" s="7">
        <v>0.36578616352201254</v>
      </c>
      <c r="G1171">
        <v>2018</v>
      </c>
    </row>
    <row r="1172" spans="1:7" x14ac:dyDescent="0.25">
      <c r="A1172" t="s">
        <v>15</v>
      </c>
      <c r="B1172" s="3">
        <v>43160</v>
      </c>
      <c r="C1172" s="9">
        <v>343.26</v>
      </c>
      <c r="D1172">
        <v>954</v>
      </c>
      <c r="E1172" s="8">
        <v>2.7792343995804929</v>
      </c>
      <c r="F1172" s="7">
        <v>0.35981132075471695</v>
      </c>
      <c r="G1172">
        <v>2018</v>
      </c>
    </row>
    <row r="1173" spans="1:7" x14ac:dyDescent="0.25">
      <c r="A1173" t="s">
        <v>15</v>
      </c>
      <c r="B1173" s="3">
        <v>43191</v>
      </c>
      <c r="C1173" s="9">
        <v>337.67</v>
      </c>
      <c r="D1173">
        <v>954</v>
      </c>
      <c r="E1173" s="8">
        <v>2.8252435810110463</v>
      </c>
      <c r="F1173" s="7">
        <v>0.35395178197064991</v>
      </c>
      <c r="G1173">
        <v>2018</v>
      </c>
    </row>
    <row r="1174" spans="1:7" x14ac:dyDescent="0.25">
      <c r="A1174" t="s">
        <v>15</v>
      </c>
      <c r="B1174" s="3">
        <v>43221</v>
      </c>
      <c r="C1174" s="9">
        <v>341.18</v>
      </c>
      <c r="D1174">
        <v>954</v>
      </c>
      <c r="E1174" s="8">
        <v>2.7961779705727183</v>
      </c>
      <c r="F1174" s="7">
        <v>0.35763102725366874</v>
      </c>
      <c r="G1174">
        <v>2018</v>
      </c>
    </row>
    <row r="1175" spans="1:7" x14ac:dyDescent="0.25">
      <c r="A1175" t="s">
        <v>15</v>
      </c>
      <c r="B1175" s="3">
        <v>43252</v>
      </c>
      <c r="C1175" s="9">
        <v>351.11</v>
      </c>
      <c r="D1175">
        <v>954</v>
      </c>
      <c r="E1175" s="8">
        <v>2.7170972060038165</v>
      </c>
      <c r="F1175" s="7">
        <v>0.36803983228511533</v>
      </c>
      <c r="G1175">
        <v>2018</v>
      </c>
    </row>
    <row r="1176" spans="1:7" x14ac:dyDescent="0.25">
      <c r="A1176" t="s">
        <v>15</v>
      </c>
      <c r="B1176" s="3">
        <v>43282</v>
      </c>
      <c r="C1176" s="9">
        <v>341.09</v>
      </c>
      <c r="D1176">
        <v>954</v>
      </c>
      <c r="E1176" s="8">
        <v>2.79691577003137</v>
      </c>
      <c r="F1176" s="7">
        <v>0.35753668763102725</v>
      </c>
      <c r="G1176">
        <v>2018</v>
      </c>
    </row>
    <row r="1177" spans="1:7" x14ac:dyDescent="0.25">
      <c r="A1177" t="s">
        <v>15</v>
      </c>
      <c r="B1177" s="3">
        <v>43313</v>
      </c>
      <c r="C1177" s="9">
        <v>335.61</v>
      </c>
      <c r="D1177">
        <v>954</v>
      </c>
      <c r="E1177" s="8">
        <v>2.8425851434700991</v>
      </c>
      <c r="F1177" s="7">
        <v>0.35179245283018867</v>
      </c>
      <c r="G1177">
        <v>2018</v>
      </c>
    </row>
    <row r="1178" spans="1:7" x14ac:dyDescent="0.25">
      <c r="A1178" t="s">
        <v>15</v>
      </c>
      <c r="B1178" s="3">
        <v>43344</v>
      </c>
      <c r="C1178" s="9">
        <v>330.3</v>
      </c>
      <c r="D1178">
        <v>954</v>
      </c>
      <c r="E1178" s="8">
        <v>2.888283378746594</v>
      </c>
      <c r="F1178" s="7">
        <v>0.34622641509433966</v>
      </c>
      <c r="G1178">
        <v>2018</v>
      </c>
    </row>
    <row r="1179" spans="1:7" x14ac:dyDescent="0.25">
      <c r="A1179" t="s">
        <v>15</v>
      </c>
      <c r="B1179" s="3">
        <v>43374</v>
      </c>
      <c r="C1179" s="9">
        <v>329.9</v>
      </c>
      <c r="D1179">
        <v>954</v>
      </c>
      <c r="E1179" s="8">
        <v>2.8917853895119734</v>
      </c>
      <c r="F1179" s="7">
        <v>0.34580712788259954</v>
      </c>
      <c r="G1179">
        <v>2018</v>
      </c>
    </row>
    <row r="1180" spans="1:7" x14ac:dyDescent="0.25">
      <c r="A1180" t="s">
        <v>15</v>
      </c>
      <c r="B1180" s="3">
        <v>43405</v>
      </c>
      <c r="C1180" s="9">
        <v>332.21</v>
      </c>
      <c r="D1180">
        <v>954</v>
      </c>
      <c r="E1180" s="8">
        <v>2.871677553354806</v>
      </c>
      <c r="F1180" s="7">
        <v>0.3482285115303983</v>
      </c>
      <c r="G1180">
        <v>2018</v>
      </c>
    </row>
    <row r="1181" spans="1:7" x14ac:dyDescent="0.25">
      <c r="A1181" t="s">
        <v>15</v>
      </c>
      <c r="B1181" s="3">
        <v>43435</v>
      </c>
      <c r="C1181" s="9">
        <v>341.4</v>
      </c>
      <c r="D1181">
        <v>954</v>
      </c>
      <c r="E1181" s="8">
        <v>2.7943760984182777</v>
      </c>
      <c r="F1181" s="7">
        <v>0.35786163522012576</v>
      </c>
      <c r="G1181">
        <v>2018</v>
      </c>
    </row>
    <row r="1182" spans="1:7" x14ac:dyDescent="0.25">
      <c r="A1182" t="s">
        <v>15</v>
      </c>
      <c r="B1182" s="3">
        <v>43466</v>
      </c>
      <c r="C1182" s="9">
        <v>351.83</v>
      </c>
      <c r="D1182">
        <v>998</v>
      </c>
      <c r="E1182" s="8">
        <v>2.8365972202484158</v>
      </c>
      <c r="F1182" s="7">
        <v>0.35253507014028057</v>
      </c>
      <c r="G1182">
        <v>2019</v>
      </c>
    </row>
    <row r="1183" spans="1:7" x14ac:dyDescent="0.25">
      <c r="A1183" t="s">
        <v>15</v>
      </c>
      <c r="B1183" s="3">
        <v>43497</v>
      </c>
      <c r="C1183" s="9">
        <v>375.58</v>
      </c>
      <c r="D1183">
        <v>998</v>
      </c>
      <c r="E1183" s="8">
        <v>2.6572234943287718</v>
      </c>
      <c r="F1183" s="7">
        <v>0.37633266533066129</v>
      </c>
      <c r="G1183">
        <v>2019</v>
      </c>
    </row>
    <row r="1184" spans="1:7" x14ac:dyDescent="0.25">
      <c r="A1184" t="s">
        <v>15</v>
      </c>
      <c r="B1184" s="3">
        <v>43525</v>
      </c>
      <c r="C1184" s="9">
        <v>399.01</v>
      </c>
      <c r="D1184">
        <v>998</v>
      </c>
      <c r="E1184" s="8">
        <v>2.5011904463547281</v>
      </c>
      <c r="F1184" s="7">
        <v>0.39980961923847697</v>
      </c>
      <c r="G1184">
        <v>2019</v>
      </c>
    </row>
    <row r="1185" spans="1:7" x14ac:dyDescent="0.25">
      <c r="A1185" t="s">
        <v>15</v>
      </c>
      <c r="B1185" s="3">
        <v>43556</v>
      </c>
      <c r="C1185" s="9">
        <v>410.1</v>
      </c>
      <c r="D1185">
        <v>998</v>
      </c>
      <c r="E1185" s="8">
        <v>2.4335527920019504</v>
      </c>
      <c r="F1185" s="7">
        <v>0.41092184368737478</v>
      </c>
      <c r="G1185">
        <v>2019</v>
      </c>
    </row>
    <row r="1186" spans="1:7" x14ac:dyDescent="0.25">
      <c r="A1186" t="s">
        <v>15</v>
      </c>
      <c r="B1186" s="3">
        <v>43586</v>
      </c>
      <c r="C1186" s="9">
        <v>406.07</v>
      </c>
      <c r="D1186">
        <v>998</v>
      </c>
      <c r="E1186" s="8">
        <v>2.4577043366907185</v>
      </c>
      <c r="F1186" s="7">
        <v>0.40688376753507011</v>
      </c>
      <c r="G1186">
        <v>2019</v>
      </c>
    </row>
    <row r="1187" spans="1:7" x14ac:dyDescent="0.25">
      <c r="A1187" t="s">
        <v>15</v>
      </c>
      <c r="B1187" s="3">
        <v>43617</v>
      </c>
      <c r="C1187" s="9">
        <v>397.24</v>
      </c>
      <c r="D1187">
        <v>998</v>
      </c>
      <c r="E1187" s="8">
        <v>2.5123351122746955</v>
      </c>
      <c r="F1187" s="7">
        <v>0.3980360721442886</v>
      </c>
      <c r="G1187">
        <v>2019</v>
      </c>
    </row>
    <row r="1188" spans="1:7" x14ac:dyDescent="0.25">
      <c r="A1188" t="s">
        <v>15</v>
      </c>
      <c r="B1188" s="3">
        <v>43647</v>
      </c>
      <c r="C1188" s="9">
        <v>381.27</v>
      </c>
      <c r="D1188">
        <v>998</v>
      </c>
      <c r="E1188" s="8">
        <v>2.6175676030109898</v>
      </c>
      <c r="F1188" s="7">
        <v>0.38203406813627255</v>
      </c>
      <c r="G1188">
        <v>2019</v>
      </c>
    </row>
    <row r="1189" spans="1:7" x14ac:dyDescent="0.25">
      <c r="A1189" t="s">
        <v>15</v>
      </c>
      <c r="B1189" s="3">
        <v>43678</v>
      </c>
      <c r="C1189" s="9">
        <v>354.44</v>
      </c>
      <c r="D1189">
        <v>998</v>
      </c>
      <c r="E1189" s="8">
        <v>2.8157092878907575</v>
      </c>
      <c r="F1189" s="7">
        <v>0.3551503006012024</v>
      </c>
      <c r="G1189">
        <v>2019</v>
      </c>
    </row>
    <row r="1190" spans="1:7" x14ac:dyDescent="0.25">
      <c r="A1190" t="s">
        <v>15</v>
      </c>
      <c r="B1190" s="3">
        <v>43709</v>
      </c>
      <c r="C1190" s="9">
        <v>352.57</v>
      </c>
      <c r="D1190">
        <v>998</v>
      </c>
      <c r="E1190" s="8">
        <v>2.8306435601440851</v>
      </c>
      <c r="F1190" s="7">
        <v>0.35327655310621242</v>
      </c>
      <c r="G1190">
        <v>2019</v>
      </c>
    </row>
    <row r="1191" spans="1:7" x14ac:dyDescent="0.25">
      <c r="A1191" t="s">
        <v>15</v>
      </c>
      <c r="B1191" s="3">
        <v>43739</v>
      </c>
      <c r="C1191" s="9">
        <v>341.9</v>
      </c>
      <c r="D1191">
        <v>998</v>
      </c>
      <c r="E1191" s="8">
        <v>2.9189821585258851</v>
      </c>
      <c r="F1191" s="7">
        <v>0.34258517034068137</v>
      </c>
      <c r="G1191">
        <v>2019</v>
      </c>
    </row>
    <row r="1192" spans="1:7" x14ac:dyDescent="0.25">
      <c r="A1192" t="s">
        <v>15</v>
      </c>
      <c r="B1192" s="3">
        <v>43770</v>
      </c>
      <c r="C1192" s="9">
        <v>347.89</v>
      </c>
      <c r="D1192">
        <v>998</v>
      </c>
      <c r="E1192" s="8">
        <v>2.8687228721722384</v>
      </c>
      <c r="F1192" s="7">
        <v>0.3485871743486974</v>
      </c>
      <c r="G1192">
        <v>2019</v>
      </c>
    </row>
    <row r="1193" spans="1:7" x14ac:dyDescent="0.25">
      <c r="A1193" t="s">
        <v>15</v>
      </c>
      <c r="B1193" s="3">
        <v>43800</v>
      </c>
      <c r="C1193" s="9">
        <v>383.76</v>
      </c>
      <c r="D1193">
        <v>998</v>
      </c>
      <c r="E1193" s="8">
        <v>2.6005836981446739</v>
      </c>
      <c r="F1193" s="7">
        <v>0.38452905811623245</v>
      </c>
      <c r="G1193">
        <v>2019</v>
      </c>
    </row>
    <row r="1194" spans="1:7" x14ac:dyDescent="0.25">
      <c r="A1194" t="s">
        <v>15</v>
      </c>
      <c r="B1194" s="3">
        <v>43831</v>
      </c>
      <c r="C1194" s="9">
        <v>389.26</v>
      </c>
      <c r="D1194">
        <v>1039</v>
      </c>
      <c r="E1194" s="8">
        <v>2.6691671376457897</v>
      </c>
      <c r="F1194" s="7">
        <v>0.37464870067372474</v>
      </c>
      <c r="G1194">
        <v>2020</v>
      </c>
    </row>
    <row r="1195" spans="1:7" x14ac:dyDescent="0.25">
      <c r="A1195" t="s">
        <v>15</v>
      </c>
      <c r="B1195" s="3">
        <v>43862</v>
      </c>
      <c r="C1195" s="9">
        <v>405.88</v>
      </c>
      <c r="D1195">
        <v>1045</v>
      </c>
      <c r="E1195" s="8">
        <v>2.5746526066817781</v>
      </c>
      <c r="F1195" s="7">
        <v>0.38840191387559808</v>
      </c>
      <c r="G1195">
        <v>2020</v>
      </c>
    </row>
    <row r="1196" spans="1:7" x14ac:dyDescent="0.25">
      <c r="A1196" t="s">
        <v>15</v>
      </c>
      <c r="B1196" s="3">
        <v>43891</v>
      </c>
      <c r="C1196" s="9">
        <v>426</v>
      </c>
      <c r="D1196">
        <v>1045</v>
      </c>
      <c r="E1196" s="8">
        <v>2.4530516431924885</v>
      </c>
      <c r="F1196" s="7">
        <v>0.40765550239234449</v>
      </c>
      <c r="G1196">
        <v>2020</v>
      </c>
    </row>
    <row r="1197" spans="1:7" x14ac:dyDescent="0.25">
      <c r="A1197" t="s">
        <v>15</v>
      </c>
      <c r="B1197" s="3">
        <v>43922</v>
      </c>
      <c r="C1197" s="9">
        <v>428.28</v>
      </c>
      <c r="D1197">
        <v>1045</v>
      </c>
      <c r="E1197" s="8">
        <v>2.4399925282525454</v>
      </c>
      <c r="F1197" s="7">
        <v>0.40983732057416267</v>
      </c>
      <c r="G1197">
        <v>2020</v>
      </c>
    </row>
    <row r="1198" spans="1:7" x14ac:dyDescent="0.25">
      <c r="A1198" t="s">
        <v>15</v>
      </c>
      <c r="B1198" s="3">
        <v>43952</v>
      </c>
      <c r="C1198" s="9">
        <v>429.57</v>
      </c>
      <c r="D1198">
        <v>1045</v>
      </c>
      <c r="E1198" s="8">
        <v>2.432665223362898</v>
      </c>
      <c r="F1198" s="7">
        <v>0.4110717703349282</v>
      </c>
      <c r="G1198">
        <v>2020</v>
      </c>
    </row>
    <row r="1199" spans="1:7" x14ac:dyDescent="0.25">
      <c r="A1199" t="s">
        <v>15</v>
      </c>
      <c r="B1199" s="3">
        <v>43983</v>
      </c>
      <c r="C1199" s="9">
        <v>442.46</v>
      </c>
      <c r="D1199">
        <v>1045</v>
      </c>
      <c r="E1199" s="8">
        <v>2.3617954165348283</v>
      </c>
      <c r="F1199" s="7">
        <v>0.42340669856459329</v>
      </c>
      <c r="G1199">
        <v>2020</v>
      </c>
    </row>
    <row r="1200" spans="1:7" x14ac:dyDescent="0.25">
      <c r="A1200" t="s">
        <v>15</v>
      </c>
      <c r="B1200" s="3">
        <v>44013</v>
      </c>
      <c r="C1200" s="9">
        <v>430.66</v>
      </c>
      <c r="D1200">
        <v>1045</v>
      </c>
      <c r="E1200" s="8">
        <v>2.4265081502809638</v>
      </c>
      <c r="F1200" s="7">
        <v>0.41211483253588521</v>
      </c>
      <c r="G1200">
        <v>2020</v>
      </c>
    </row>
    <row r="1201" spans="1:7" x14ac:dyDescent="0.25">
      <c r="A1201" t="s">
        <v>15</v>
      </c>
      <c r="B1201" s="3">
        <v>44044</v>
      </c>
      <c r="C1201" s="9">
        <v>419.47</v>
      </c>
      <c r="D1201">
        <v>1045</v>
      </c>
      <c r="E1201" s="8">
        <v>2.4912389443821965</v>
      </c>
      <c r="F1201" s="7">
        <v>0.40140669856459332</v>
      </c>
      <c r="G1201">
        <v>2020</v>
      </c>
    </row>
    <row r="1202" spans="1:7" x14ac:dyDescent="0.25">
      <c r="A1202" t="s">
        <v>15</v>
      </c>
      <c r="B1202" s="3">
        <v>44075</v>
      </c>
      <c r="C1202" s="9">
        <v>422.31</v>
      </c>
      <c r="D1202">
        <v>1045</v>
      </c>
      <c r="E1202" s="8">
        <v>2.4744855674741304</v>
      </c>
      <c r="F1202" s="7">
        <v>0.40412440191387561</v>
      </c>
      <c r="G1202">
        <v>2020</v>
      </c>
    </row>
    <row r="1203" spans="1:7" x14ac:dyDescent="0.25">
      <c r="A1203" t="s">
        <v>15</v>
      </c>
      <c r="B1203" s="3">
        <v>44105</v>
      </c>
      <c r="C1203" s="9">
        <v>436.76</v>
      </c>
      <c r="D1203">
        <v>1045</v>
      </c>
      <c r="E1203" s="8">
        <v>2.3926183716457552</v>
      </c>
      <c r="F1203" s="7">
        <v>0.41795215311004785</v>
      </c>
      <c r="G1203">
        <v>2020</v>
      </c>
    </row>
    <row r="1204" spans="1:7" x14ac:dyDescent="0.25">
      <c r="A1204" t="s">
        <v>15</v>
      </c>
      <c r="B1204" s="3">
        <v>44136</v>
      </c>
      <c r="C1204" s="9">
        <v>455.43</v>
      </c>
      <c r="D1204">
        <v>1045</v>
      </c>
      <c r="E1204" s="8">
        <v>2.2945348352106798</v>
      </c>
      <c r="F1204" s="7">
        <v>0.43581818181818183</v>
      </c>
      <c r="G1204">
        <v>2020</v>
      </c>
    </row>
    <row r="1205" spans="1:7" x14ac:dyDescent="0.25">
      <c r="A1205" t="s">
        <v>15</v>
      </c>
      <c r="B1205" s="3">
        <v>44166</v>
      </c>
      <c r="C1205" s="9">
        <v>458.79</v>
      </c>
      <c r="D1205">
        <v>1045</v>
      </c>
      <c r="E1205" s="8">
        <v>2.2777305521044484</v>
      </c>
      <c r="F1205" s="7">
        <v>0.43903349282296655</v>
      </c>
      <c r="G1205">
        <v>2020</v>
      </c>
    </row>
    <row r="1206" spans="1:7" x14ac:dyDescent="0.25">
      <c r="A1206" t="s">
        <v>15</v>
      </c>
      <c r="B1206" s="3">
        <v>44197</v>
      </c>
      <c r="C1206" s="9">
        <v>454.49</v>
      </c>
      <c r="D1206">
        <v>1100</v>
      </c>
      <c r="E1206" s="8">
        <v>2.4202952760236749</v>
      </c>
      <c r="F1206" s="7">
        <v>0.4131727272727273</v>
      </c>
      <c r="G1206">
        <v>2021</v>
      </c>
    </row>
    <row r="1207" spans="1:7" x14ac:dyDescent="0.25">
      <c r="A1207" t="s">
        <v>15</v>
      </c>
      <c r="B1207" s="3">
        <v>44228</v>
      </c>
      <c r="C1207" s="9">
        <v>464.43</v>
      </c>
      <c r="D1207">
        <v>1100</v>
      </c>
      <c r="E1207" s="8">
        <v>2.368494713950434</v>
      </c>
      <c r="F1207" s="7">
        <v>0.42220909090909092</v>
      </c>
      <c r="G1207">
        <v>2021</v>
      </c>
    </row>
    <row r="1208" spans="1:7" x14ac:dyDescent="0.25">
      <c r="A1208" t="s">
        <v>15</v>
      </c>
      <c r="B1208" s="3">
        <v>44256</v>
      </c>
      <c r="C1208" s="9">
        <v>477.56</v>
      </c>
      <c r="D1208">
        <v>1100</v>
      </c>
      <c r="E1208" s="8">
        <v>2.303375492084764</v>
      </c>
      <c r="F1208" s="7">
        <v>0.43414545454545456</v>
      </c>
      <c r="G1208">
        <v>2021</v>
      </c>
    </row>
    <row r="1209" spans="1:7" x14ac:dyDescent="0.25">
      <c r="A1209" t="s">
        <v>15</v>
      </c>
      <c r="B1209" s="3">
        <v>44287</v>
      </c>
      <c r="C1209" s="9">
        <v>478.23</v>
      </c>
      <c r="D1209">
        <v>1100</v>
      </c>
      <c r="E1209" s="8">
        <v>2.3001484641281391</v>
      </c>
      <c r="F1209" s="7">
        <v>0.43475454545454545</v>
      </c>
      <c r="G1209">
        <v>2021</v>
      </c>
    </row>
    <row r="1210" spans="1:7" x14ac:dyDescent="0.25">
      <c r="A1210" t="s">
        <v>15</v>
      </c>
      <c r="B1210" s="3">
        <v>44317</v>
      </c>
      <c r="C1210" s="9">
        <v>501.7</v>
      </c>
      <c r="D1210">
        <v>1100</v>
      </c>
      <c r="E1210" s="8">
        <v>2.1925453458241977</v>
      </c>
      <c r="F1210" s="7">
        <v>0.4560909090909091</v>
      </c>
      <c r="G1210">
        <v>2021</v>
      </c>
    </row>
    <row r="1211" spans="1:7" x14ac:dyDescent="0.25">
      <c r="A1211" t="s">
        <v>15</v>
      </c>
      <c r="B1211" s="3">
        <v>44348</v>
      </c>
      <c r="C1211" s="9">
        <v>500.2</v>
      </c>
      <c r="D1211">
        <v>1100</v>
      </c>
      <c r="E1211" s="8">
        <v>2.1991203518592561</v>
      </c>
      <c r="F1211" s="7">
        <v>0.4547272727272727</v>
      </c>
      <c r="G1211">
        <v>2021</v>
      </c>
    </row>
    <row r="1212" spans="1:7" x14ac:dyDescent="0.25">
      <c r="A1212" t="s">
        <v>15</v>
      </c>
      <c r="B1212" s="3">
        <v>44378</v>
      </c>
      <c r="C1212" s="9">
        <v>506.51</v>
      </c>
      <c r="D1212">
        <v>1100</v>
      </c>
      <c r="E1212" s="8">
        <v>2.1717241515468597</v>
      </c>
      <c r="F1212" s="7">
        <v>0.46046363636363635</v>
      </c>
      <c r="G1212">
        <v>2021</v>
      </c>
    </row>
    <row r="1213" spans="1:7" x14ac:dyDescent="0.25">
      <c r="A1213" t="s">
        <v>15</v>
      </c>
      <c r="B1213" s="3">
        <v>44409</v>
      </c>
      <c r="C1213" s="9">
        <v>508.04</v>
      </c>
      <c r="D1213">
        <v>1100</v>
      </c>
      <c r="E1213" s="8">
        <v>2.1651838437918274</v>
      </c>
      <c r="F1213" s="7">
        <v>0.46185454545454546</v>
      </c>
      <c r="G1213">
        <v>2021</v>
      </c>
    </row>
    <row r="1214" spans="1:7" x14ac:dyDescent="0.25">
      <c r="A1214" t="s">
        <v>15</v>
      </c>
      <c r="B1214" s="3">
        <v>44440</v>
      </c>
      <c r="C1214" s="9">
        <v>493.29</v>
      </c>
      <c r="D1214">
        <v>1100</v>
      </c>
      <c r="E1214" s="8">
        <v>2.229925601573111</v>
      </c>
      <c r="F1214" s="7">
        <v>0.44844545454545459</v>
      </c>
      <c r="G1214">
        <v>2021</v>
      </c>
    </row>
    <row r="1215" spans="1:7" x14ac:dyDescent="0.25">
      <c r="A1215" t="s">
        <v>15</v>
      </c>
      <c r="B1215" s="3">
        <v>44470</v>
      </c>
      <c r="C1215" s="9">
        <v>504.66</v>
      </c>
      <c r="D1215">
        <v>1100</v>
      </c>
      <c r="E1215" s="8">
        <v>2.1796853326992429</v>
      </c>
      <c r="F1215" s="7">
        <v>0.45878181818181818</v>
      </c>
      <c r="G1215">
        <v>2021</v>
      </c>
    </row>
    <row r="1216" spans="1:7" x14ac:dyDescent="0.25">
      <c r="A1216" t="s">
        <v>15</v>
      </c>
      <c r="B1216" s="3">
        <v>44501</v>
      </c>
      <c r="C1216" s="9">
        <v>521.08000000000004</v>
      </c>
      <c r="D1216">
        <v>1100</v>
      </c>
      <c r="E1216" s="8">
        <v>2.1110002302909341</v>
      </c>
      <c r="F1216" s="7">
        <v>0.47370909090909097</v>
      </c>
      <c r="G1216">
        <v>2021</v>
      </c>
    </row>
    <row r="1217" spans="1:7" x14ac:dyDescent="0.25">
      <c r="A1217" t="s">
        <v>15</v>
      </c>
      <c r="B1217" s="3">
        <v>44531</v>
      </c>
      <c r="C1217" s="9">
        <v>529.54</v>
      </c>
      <c r="D1217">
        <v>1100</v>
      </c>
      <c r="E1217" s="8">
        <v>2.0772746157041961</v>
      </c>
      <c r="F1217" s="7">
        <v>0.48139999999999999</v>
      </c>
      <c r="G1217">
        <v>2021</v>
      </c>
    </row>
    <row r="1218" spans="1:7" x14ac:dyDescent="0.25">
      <c r="A1218" t="s">
        <v>15</v>
      </c>
      <c r="B1218" s="3">
        <v>44562</v>
      </c>
      <c r="C1218" s="9">
        <v>551.05999999999995</v>
      </c>
      <c r="D1218">
        <v>1212</v>
      </c>
      <c r="E1218" s="8">
        <v>2.1993975247704425</v>
      </c>
      <c r="F1218" s="7">
        <v>0.45466996699669965</v>
      </c>
      <c r="G1218">
        <v>2022</v>
      </c>
    </row>
    <row r="1219" spans="1:7" x14ac:dyDescent="0.25">
      <c r="A1219" t="s">
        <v>15</v>
      </c>
      <c r="B1219" s="3">
        <v>44593</v>
      </c>
      <c r="C1219" s="9">
        <v>557.20000000000005</v>
      </c>
      <c r="D1219">
        <v>1212</v>
      </c>
      <c r="E1219" s="8">
        <v>2.1751615218951899</v>
      </c>
      <c r="F1219" s="7">
        <v>0.45973597359735979</v>
      </c>
      <c r="G1219">
        <v>2022</v>
      </c>
    </row>
    <row r="1220" spans="1:7" x14ac:dyDescent="0.25">
      <c r="A1220" t="s">
        <v>15</v>
      </c>
      <c r="B1220" s="3">
        <v>44621</v>
      </c>
      <c r="C1220" s="9">
        <v>575.33000000000004</v>
      </c>
      <c r="D1220">
        <v>1212</v>
      </c>
      <c r="E1220" s="8">
        <v>2.1066170719413204</v>
      </c>
      <c r="F1220" s="7">
        <v>0.47469471947194725</v>
      </c>
      <c r="G1220">
        <v>2022</v>
      </c>
    </row>
    <row r="1221" spans="1:7" x14ac:dyDescent="0.25">
      <c r="A1221" t="s">
        <v>15</v>
      </c>
      <c r="B1221" s="3">
        <v>44652</v>
      </c>
      <c r="C1221" s="9">
        <v>595.37</v>
      </c>
      <c r="D1221">
        <v>1212</v>
      </c>
      <c r="E1221" s="8">
        <v>2.0357088869106605</v>
      </c>
      <c r="F1221" s="7">
        <v>0.49122937293729374</v>
      </c>
      <c r="G1221">
        <v>2022</v>
      </c>
    </row>
    <row r="1222" spans="1:7" x14ac:dyDescent="0.25">
      <c r="A1222" t="s">
        <v>15</v>
      </c>
      <c r="B1222" s="3">
        <v>44682</v>
      </c>
      <c r="C1222" s="9">
        <v>586.41999999999996</v>
      </c>
      <c r="D1222">
        <v>1212</v>
      </c>
      <c r="E1222" s="8">
        <v>2.0667780771460729</v>
      </c>
      <c r="F1222" s="7">
        <v>0.48384488448844881</v>
      </c>
      <c r="G1222">
        <v>2022</v>
      </c>
    </row>
    <row r="1223" spans="1:7" x14ac:dyDescent="0.25">
      <c r="A1223" t="s">
        <v>15</v>
      </c>
      <c r="B1223" s="3">
        <v>44713</v>
      </c>
      <c r="C1223" s="9">
        <v>611.79</v>
      </c>
      <c r="D1223">
        <v>1212</v>
      </c>
      <c r="E1223" s="8">
        <v>1.9810719364487817</v>
      </c>
      <c r="F1223" s="7">
        <v>0.50477722772277223</v>
      </c>
      <c r="G1223">
        <v>2022</v>
      </c>
    </row>
    <row r="1224" spans="1:7" x14ac:dyDescent="0.25">
      <c r="A1224" t="s">
        <v>15</v>
      </c>
      <c r="B1224" s="3">
        <v>44743</v>
      </c>
      <c r="C1224" s="9">
        <v>587.58000000000004</v>
      </c>
      <c r="D1224">
        <v>1212</v>
      </c>
      <c r="E1224" s="8">
        <v>2.0626978453997751</v>
      </c>
      <c r="F1224" s="7">
        <v>0.48480198019801984</v>
      </c>
      <c r="G1224">
        <v>2022</v>
      </c>
    </row>
    <row r="1225" spans="1:7" x14ac:dyDescent="0.25">
      <c r="A1225" t="s">
        <v>15</v>
      </c>
      <c r="B1225" s="3">
        <v>44774</v>
      </c>
      <c r="C1225" s="9">
        <v>580.74</v>
      </c>
      <c r="D1225">
        <v>1212</v>
      </c>
      <c r="E1225" s="8">
        <v>2.086992457898543</v>
      </c>
      <c r="F1225" s="7">
        <v>0.47915841584158414</v>
      </c>
      <c r="G1225">
        <v>2022</v>
      </c>
    </row>
    <row r="1226" spans="1:7" x14ac:dyDescent="0.25">
      <c r="A1226" t="s">
        <v>15</v>
      </c>
      <c r="B1226" s="3">
        <v>44805</v>
      </c>
      <c r="C1226" s="9">
        <v>581.53</v>
      </c>
      <c r="D1226">
        <v>1212</v>
      </c>
      <c r="E1226" s="8">
        <v>2.084157309167197</v>
      </c>
      <c r="F1226" s="7">
        <v>0.47981023102310227</v>
      </c>
      <c r="G1226">
        <v>2022</v>
      </c>
    </row>
    <row r="1227" spans="1:7" x14ac:dyDescent="0.25">
      <c r="A1227" t="s">
        <v>15</v>
      </c>
      <c r="B1227" s="3">
        <v>44835</v>
      </c>
      <c r="C1227" s="9">
        <v>573.4</v>
      </c>
      <c r="D1227">
        <v>1212</v>
      </c>
      <c r="E1227" s="8">
        <v>2.1137077084059994</v>
      </c>
      <c r="F1227" s="7">
        <v>0.47310231023102306</v>
      </c>
      <c r="G1227">
        <v>2022</v>
      </c>
    </row>
    <row r="1228" spans="1:7" x14ac:dyDescent="0.25">
      <c r="A1228" t="s">
        <v>15</v>
      </c>
      <c r="B1228" s="3">
        <v>44866</v>
      </c>
      <c r="C1228" s="9">
        <v>566.95000000000005</v>
      </c>
      <c r="D1228">
        <v>1212</v>
      </c>
      <c r="E1228" s="8">
        <v>2.1377546520857216</v>
      </c>
      <c r="F1228" s="7">
        <v>0.46778052805280534</v>
      </c>
      <c r="G1228">
        <v>2022</v>
      </c>
    </row>
    <row r="1229" spans="1:7" x14ac:dyDescent="0.25">
      <c r="A1229" t="s">
        <v>15</v>
      </c>
      <c r="B1229" s="3">
        <v>44896</v>
      </c>
      <c r="C1229" s="9">
        <v>584.36</v>
      </c>
      <c r="D1229">
        <v>1212</v>
      </c>
      <c r="E1229" s="8">
        <v>2.074063933191868</v>
      </c>
      <c r="F1229" s="7">
        <v>0.48214521452145215</v>
      </c>
      <c r="G1229">
        <v>2022</v>
      </c>
    </row>
    <row r="1230" spans="1:7" x14ac:dyDescent="0.25">
      <c r="A1230" t="s">
        <v>15</v>
      </c>
      <c r="B1230" s="3">
        <v>44927</v>
      </c>
      <c r="C1230" s="9">
        <v>622.16</v>
      </c>
      <c r="D1230">
        <v>1302</v>
      </c>
      <c r="E1230" s="8">
        <v>2.0927092709270929</v>
      </c>
      <c r="F1230" s="7">
        <v>0.47784946236559139</v>
      </c>
      <c r="G1230">
        <v>2023</v>
      </c>
    </row>
    <row r="1231" spans="1:7" x14ac:dyDescent="0.25">
      <c r="A1231" t="s">
        <v>15</v>
      </c>
      <c r="B1231" s="3">
        <v>44958</v>
      </c>
      <c r="C1231" s="9">
        <v>626.15</v>
      </c>
      <c r="D1231">
        <v>1302</v>
      </c>
      <c r="E1231" s="8">
        <v>2.0793739519284515</v>
      </c>
      <c r="F1231" s="7">
        <v>0.48091397849462364</v>
      </c>
      <c r="G1231">
        <v>2023</v>
      </c>
    </row>
    <row r="1232" spans="1:7" x14ac:dyDescent="0.25">
      <c r="A1232" t="s">
        <v>15</v>
      </c>
      <c r="B1232" s="3">
        <v>44986</v>
      </c>
      <c r="C1232" s="9">
        <v>615.03</v>
      </c>
      <c r="D1232">
        <v>1302</v>
      </c>
      <c r="E1232" s="8">
        <v>2.1169699039071266</v>
      </c>
      <c r="F1232" s="7">
        <v>0.47237327188940093</v>
      </c>
      <c r="G1232">
        <v>2023</v>
      </c>
    </row>
    <row r="1233" spans="1:7" x14ac:dyDescent="0.25">
      <c r="A1233" t="s">
        <v>15</v>
      </c>
      <c r="B1233" s="3">
        <v>45017</v>
      </c>
      <c r="C1233" s="9">
        <v>605.94000000000005</v>
      </c>
      <c r="D1233">
        <v>1302</v>
      </c>
      <c r="E1233" s="8">
        <v>2.1487275967917614</v>
      </c>
      <c r="F1233" s="7">
        <v>0.46539170506912447</v>
      </c>
      <c r="G1233">
        <v>2023</v>
      </c>
    </row>
    <row r="1234" spans="1:7" x14ac:dyDescent="0.25">
      <c r="A1234" t="s">
        <v>15</v>
      </c>
      <c r="B1234" s="3">
        <v>45047</v>
      </c>
      <c r="C1234" s="9">
        <v>602.16</v>
      </c>
      <c r="D1234">
        <v>1320</v>
      </c>
      <c r="E1234" s="8">
        <v>2.1921084097249901</v>
      </c>
      <c r="F1234" s="7">
        <v>0.45618181818181813</v>
      </c>
      <c r="G1234">
        <v>2023</v>
      </c>
    </row>
    <row r="1235" spans="1:7" x14ac:dyDescent="0.25">
      <c r="A1235" t="s">
        <v>15</v>
      </c>
      <c r="B1235" s="3">
        <v>45078</v>
      </c>
      <c r="C1235" s="9">
        <v>632.27</v>
      </c>
      <c r="D1235">
        <v>1320</v>
      </c>
      <c r="E1235" s="8">
        <v>2.0877156910813417</v>
      </c>
      <c r="F1235" s="7">
        <v>0.47899242424242422</v>
      </c>
      <c r="G1235">
        <v>2023</v>
      </c>
    </row>
    <row r="1236" spans="1:7" x14ac:dyDescent="0.25">
      <c r="A1236" t="s">
        <v>15</v>
      </c>
      <c r="B1236" s="3">
        <v>45108</v>
      </c>
      <c r="C1236" s="9">
        <v>613.64</v>
      </c>
      <c r="D1236">
        <v>1320</v>
      </c>
      <c r="E1236" s="8">
        <v>2.1510983638615477</v>
      </c>
      <c r="F1236" s="7">
        <v>0.46487878787878789</v>
      </c>
      <c r="G1236">
        <v>2023</v>
      </c>
    </row>
    <row r="1237" spans="1:7" x14ac:dyDescent="0.25">
      <c r="A1237" t="s">
        <v>15</v>
      </c>
      <c r="B1237" s="3">
        <v>45139</v>
      </c>
      <c r="C1237" s="9">
        <v>581.17999999999995</v>
      </c>
      <c r="D1237">
        <v>1320</v>
      </c>
      <c r="E1237" s="8">
        <v>2.2712412677655807</v>
      </c>
      <c r="F1237" s="7">
        <v>0.44028787878787873</v>
      </c>
      <c r="G1237">
        <v>2023</v>
      </c>
    </row>
    <row r="1238" spans="1:7" x14ac:dyDescent="0.25">
      <c r="A1238" t="s">
        <v>15</v>
      </c>
      <c r="B1238" s="3">
        <v>45170</v>
      </c>
      <c r="C1238" s="9">
        <v>598.99</v>
      </c>
      <c r="D1238">
        <v>1320</v>
      </c>
      <c r="E1238" s="8">
        <v>2.2037095777892786</v>
      </c>
      <c r="F1238" s="7">
        <v>0.45378030303030303</v>
      </c>
      <c r="G1238">
        <v>2023</v>
      </c>
    </row>
    <row r="1239" spans="1:7" x14ac:dyDescent="0.25">
      <c r="A1239" t="s">
        <v>15</v>
      </c>
      <c r="B1239" s="3">
        <v>45200</v>
      </c>
      <c r="C1239" s="9">
        <v>582.12</v>
      </c>
      <c r="D1239">
        <v>1320</v>
      </c>
      <c r="E1239" s="8">
        <v>2.2675736961451247</v>
      </c>
      <c r="F1239" s="7">
        <v>0.441</v>
      </c>
      <c r="G1239">
        <v>2023</v>
      </c>
    </row>
    <row r="1240" spans="1:7" x14ac:dyDescent="0.25">
      <c r="A1240" t="s">
        <v>15</v>
      </c>
      <c r="B1240" s="3">
        <v>45231</v>
      </c>
      <c r="C1240" s="9">
        <v>567.29999999999995</v>
      </c>
      <c r="D1240">
        <v>1320</v>
      </c>
      <c r="E1240" s="8">
        <v>2.3268112109994714</v>
      </c>
      <c r="F1240" s="7">
        <v>0.42977272727272725</v>
      </c>
      <c r="G1240">
        <v>2023</v>
      </c>
    </row>
    <row r="1241" spans="1:7" x14ac:dyDescent="0.25">
      <c r="A1241" t="s">
        <v>15</v>
      </c>
      <c r="B1241" s="3">
        <v>45261</v>
      </c>
      <c r="C1241" s="9">
        <v>556.05999999999995</v>
      </c>
      <c r="D1241">
        <v>1320</v>
      </c>
      <c r="E1241" s="8">
        <v>2.3738445491493727</v>
      </c>
      <c r="F1241" s="7">
        <v>0.42125757575757572</v>
      </c>
      <c r="G1241">
        <v>2023</v>
      </c>
    </row>
    <row r="1242" spans="1:7" x14ac:dyDescent="0.25">
      <c r="A1242" t="s">
        <v>15</v>
      </c>
      <c r="B1242" s="3">
        <v>45292</v>
      </c>
      <c r="C1242" s="9">
        <v>575.71</v>
      </c>
      <c r="D1242">
        <v>1412</v>
      </c>
      <c r="E1242" s="8">
        <v>2.4526237168018619</v>
      </c>
      <c r="F1242" s="7">
        <v>0.40772662889518418</v>
      </c>
      <c r="G1242">
        <v>2024</v>
      </c>
    </row>
    <row r="1243" spans="1:7" x14ac:dyDescent="0.25">
      <c r="A1243" t="s">
        <v>15</v>
      </c>
      <c r="B1243" s="3">
        <v>45323</v>
      </c>
      <c r="C1243" s="9">
        <v>579.30999999999995</v>
      </c>
      <c r="D1243">
        <v>1412</v>
      </c>
      <c r="E1243" s="8">
        <v>2.4373824032038116</v>
      </c>
      <c r="F1243" s="7">
        <v>0.41027620396600561</v>
      </c>
      <c r="G1243">
        <v>2024</v>
      </c>
    </row>
    <row r="1244" spans="1:7" x14ac:dyDescent="0.25">
      <c r="A1244" t="s">
        <v>15</v>
      </c>
      <c r="B1244" s="3">
        <v>45352</v>
      </c>
      <c r="C1244" s="9">
        <v>605.33000000000004</v>
      </c>
      <c r="D1244">
        <v>1412</v>
      </c>
      <c r="E1244" s="8">
        <v>2.3326119637222669</v>
      </c>
      <c r="F1244" s="7">
        <v>0.42870396600566574</v>
      </c>
      <c r="G1244">
        <v>2024</v>
      </c>
    </row>
    <row r="1245" spans="1:7" x14ac:dyDescent="0.25">
      <c r="A1245" t="s">
        <v>15</v>
      </c>
      <c r="B1245" s="3">
        <v>45383</v>
      </c>
      <c r="C1245" s="9">
        <v>632.23</v>
      </c>
      <c r="D1245">
        <v>1412</v>
      </c>
      <c r="E1245" s="8">
        <v>2.2333644401562722</v>
      </c>
      <c r="F1245" s="7">
        <v>0.44775495750708216</v>
      </c>
      <c r="G1245">
        <v>2024</v>
      </c>
    </row>
    <row r="1246" spans="1:7" x14ac:dyDescent="0.25">
      <c r="A1246" t="s">
        <v>15</v>
      </c>
      <c r="B1246" s="3">
        <v>45413</v>
      </c>
      <c r="C1246" s="9">
        <v>640.1</v>
      </c>
      <c r="D1246">
        <v>1412</v>
      </c>
      <c r="E1246" s="8">
        <v>2.2059053272926104</v>
      </c>
      <c r="F1246" s="7">
        <v>0.45332861189801699</v>
      </c>
      <c r="G1246">
        <v>2024</v>
      </c>
    </row>
    <row r="1247" spans="1:7" x14ac:dyDescent="0.25">
      <c r="A1247" t="s">
        <v>15</v>
      </c>
      <c r="B1247" s="3">
        <v>45444</v>
      </c>
      <c r="C1247" s="9">
        <v>599.29</v>
      </c>
      <c r="D1247">
        <v>1412</v>
      </c>
      <c r="E1247" s="8">
        <v>2.3561214103355641</v>
      </c>
      <c r="F1247" s="7">
        <v>0.42442634560906511</v>
      </c>
      <c r="G1247">
        <v>2024</v>
      </c>
    </row>
    <row r="1248" spans="1:7" x14ac:dyDescent="0.25">
      <c r="A1248" t="s">
        <v>15</v>
      </c>
      <c r="B1248" s="3">
        <v>45474</v>
      </c>
      <c r="C1248" s="9">
        <v>575.12</v>
      </c>
      <c r="D1248">
        <v>1412</v>
      </c>
      <c r="E1248" s="8">
        <v>2.4551397969119488</v>
      </c>
      <c r="F1248" s="7">
        <v>0.40730878186968839</v>
      </c>
      <c r="G1248">
        <v>2024</v>
      </c>
    </row>
    <row r="1249" spans="1:7" x14ac:dyDescent="0.25">
      <c r="A1249" t="s">
        <v>15</v>
      </c>
      <c r="B1249" s="3">
        <v>45505</v>
      </c>
      <c r="C1249" s="9">
        <v>555.67999999999995</v>
      </c>
      <c r="D1249">
        <v>1412</v>
      </c>
      <c r="E1249" s="8">
        <v>2.5410308090987619</v>
      </c>
      <c r="F1249" s="7">
        <v>0.39354107648725206</v>
      </c>
      <c r="G1249">
        <v>2024</v>
      </c>
    </row>
    <row r="1250" spans="1:7" x14ac:dyDescent="0.25">
      <c r="A1250" t="s">
        <v>15</v>
      </c>
      <c r="B1250" s="3">
        <v>45536</v>
      </c>
      <c r="C1250" s="9">
        <v>554</v>
      </c>
      <c r="D1250">
        <v>1412</v>
      </c>
      <c r="E1250" s="8">
        <v>2.5487364620938626</v>
      </c>
      <c r="F1250" s="7">
        <v>0.3923512747875354</v>
      </c>
      <c r="G1250">
        <v>2024</v>
      </c>
    </row>
    <row r="1251" spans="1:7" x14ac:dyDescent="0.25">
      <c r="A1251" t="s">
        <v>15</v>
      </c>
      <c r="B1251" s="3">
        <v>45566</v>
      </c>
      <c r="C1251" s="9">
        <v>576.23</v>
      </c>
      <c r="D1251">
        <v>1412</v>
      </c>
      <c r="E1251" s="8">
        <v>2.450410426392239</v>
      </c>
      <c r="F1251" s="7">
        <v>0.40809490084985839</v>
      </c>
      <c r="G1251">
        <v>2024</v>
      </c>
    </row>
    <row r="1252" spans="1:7" x14ac:dyDescent="0.25">
      <c r="A1252" t="s">
        <v>15</v>
      </c>
      <c r="B1252" s="3">
        <v>45597</v>
      </c>
      <c r="C1252" s="9">
        <v>593.54</v>
      </c>
      <c r="D1252">
        <v>1412</v>
      </c>
      <c r="E1252" s="8">
        <v>2.3789466590288777</v>
      </c>
      <c r="F1252" s="7">
        <v>0.42035410764872516</v>
      </c>
      <c r="G1252">
        <v>2024</v>
      </c>
    </row>
    <row r="1253" spans="1:7" x14ac:dyDescent="0.25">
      <c r="A1253" t="s">
        <v>15</v>
      </c>
      <c r="B1253" s="3">
        <v>45627</v>
      </c>
      <c r="C1253" s="9">
        <v>617.32000000000005</v>
      </c>
      <c r="D1253">
        <v>1412</v>
      </c>
      <c r="E1253" s="8">
        <v>2.2873064213049954</v>
      </c>
      <c r="F1253" s="7">
        <v>0.43719546742209636</v>
      </c>
      <c r="G1253">
        <v>2024</v>
      </c>
    </row>
    <row r="1254" spans="1:7" x14ac:dyDescent="0.25">
      <c r="A1254" t="s">
        <v>15</v>
      </c>
      <c r="B1254" s="3">
        <v>45658</v>
      </c>
      <c r="C1254" s="9">
        <v>634.11</v>
      </c>
      <c r="D1254">
        <v>1518</v>
      </c>
      <c r="E1254" s="8">
        <v>2.3939064200217626</v>
      </c>
      <c r="F1254" s="7">
        <v>0.41772727272727272</v>
      </c>
      <c r="G1254">
        <v>2025</v>
      </c>
    </row>
    <row r="1255" spans="1:7" x14ac:dyDescent="0.25">
      <c r="A1255" t="s">
        <v>15</v>
      </c>
      <c r="B1255" s="3">
        <v>45689</v>
      </c>
      <c r="C1255" s="9">
        <v>648.58000000000004</v>
      </c>
      <c r="D1255">
        <v>1518</v>
      </c>
      <c r="E1255" s="8">
        <v>2.3404977026735327</v>
      </c>
      <c r="F1255" s="7">
        <v>0.42725955204216076</v>
      </c>
      <c r="G1255">
        <v>2025</v>
      </c>
    </row>
    <row r="1256" spans="1:7" x14ac:dyDescent="0.25">
      <c r="A1256" t="s">
        <v>15</v>
      </c>
      <c r="B1256" s="3">
        <v>45717</v>
      </c>
      <c r="C1256" s="9">
        <v>636.47</v>
      </c>
      <c r="D1256">
        <v>1518</v>
      </c>
      <c r="E1256" s="8">
        <v>2.385029930711581</v>
      </c>
      <c r="F1256" s="7">
        <v>0.41928194993412388</v>
      </c>
      <c r="G1256">
        <v>2025</v>
      </c>
    </row>
    <row r="1257" spans="1:7" x14ac:dyDescent="0.25">
      <c r="A1257" t="s">
        <v>15</v>
      </c>
      <c r="B1257" s="3">
        <v>45748</v>
      </c>
      <c r="C1257" s="9">
        <v>657</v>
      </c>
      <c r="D1257">
        <v>1518</v>
      </c>
      <c r="E1257" s="8">
        <v>2.310502283105023</v>
      </c>
      <c r="F1257" s="7">
        <v>0.43280632411067194</v>
      </c>
      <c r="G1257">
        <v>2025</v>
      </c>
    </row>
    <row r="1258" spans="1:7" x14ac:dyDescent="0.25">
      <c r="A1258" t="s">
        <v>15</v>
      </c>
      <c r="B1258" s="3">
        <v>45778</v>
      </c>
      <c r="C1258" s="9">
        <v>645</v>
      </c>
      <c r="D1258">
        <v>1518</v>
      </c>
      <c r="E1258" s="8">
        <v>2.3534883720930231</v>
      </c>
      <c r="F1258" s="7">
        <v>0.42490118577075098</v>
      </c>
      <c r="G1258">
        <v>2025</v>
      </c>
    </row>
    <row r="1259" spans="1:7" x14ac:dyDescent="0.25">
      <c r="A1259" t="s">
        <v>15</v>
      </c>
      <c r="B1259" s="3">
        <v>45809</v>
      </c>
      <c r="C1259" s="9">
        <v>636.95000000000005</v>
      </c>
      <c r="D1259">
        <v>1518</v>
      </c>
      <c r="E1259" s="8">
        <v>2.3832325928251823</v>
      </c>
      <c r="F1259" s="7">
        <v>0.41959815546772072</v>
      </c>
      <c r="G1259">
        <v>2025</v>
      </c>
    </row>
    <row r="1260" spans="1:7" x14ac:dyDescent="0.25">
      <c r="A1260" t="s">
        <v>16</v>
      </c>
      <c r="B1260" s="3">
        <v>42005</v>
      </c>
      <c r="C1260" s="9">
        <v>361.11</v>
      </c>
      <c r="D1260">
        <v>788</v>
      </c>
      <c r="E1260" s="8">
        <v>2.1821605604940322</v>
      </c>
      <c r="F1260" s="7">
        <v>0.45826142131979697</v>
      </c>
      <c r="G1260">
        <v>2015</v>
      </c>
    </row>
    <row r="1261" spans="1:7" x14ac:dyDescent="0.25">
      <c r="A1261" t="s">
        <v>16</v>
      </c>
      <c r="B1261" s="3">
        <v>42036</v>
      </c>
      <c r="C1261" s="9">
        <v>353.81</v>
      </c>
      <c r="D1261">
        <v>788</v>
      </c>
      <c r="E1261" s="8">
        <v>2.2271840818518416</v>
      </c>
      <c r="F1261" s="7">
        <v>0.44899746192893403</v>
      </c>
      <c r="G1261">
        <v>2015</v>
      </c>
    </row>
    <row r="1262" spans="1:7" x14ac:dyDescent="0.25">
      <c r="A1262" t="s">
        <v>16</v>
      </c>
      <c r="B1262" s="3">
        <v>42064</v>
      </c>
      <c r="C1262" s="9">
        <v>360.01</v>
      </c>
      <c r="D1262">
        <v>788</v>
      </c>
      <c r="E1262" s="8">
        <v>2.1888280881086639</v>
      </c>
      <c r="F1262" s="7">
        <v>0.45686548223350254</v>
      </c>
      <c r="G1262">
        <v>2015</v>
      </c>
    </row>
    <row r="1263" spans="1:7" x14ac:dyDescent="0.25">
      <c r="A1263" t="s">
        <v>16</v>
      </c>
      <c r="B1263" s="3">
        <v>42095</v>
      </c>
      <c r="C1263" s="9">
        <v>368.97</v>
      </c>
      <c r="D1263">
        <v>788</v>
      </c>
      <c r="E1263" s="8">
        <v>2.1356749871263245</v>
      </c>
      <c r="F1263" s="7">
        <v>0.46823604060913709</v>
      </c>
      <c r="G1263">
        <v>2015</v>
      </c>
    </row>
    <row r="1264" spans="1:7" x14ac:dyDescent="0.25">
      <c r="A1264" t="s">
        <v>16</v>
      </c>
      <c r="B1264" s="3">
        <v>42125</v>
      </c>
      <c r="C1264" s="9">
        <v>384.57</v>
      </c>
      <c r="D1264">
        <v>788</v>
      </c>
      <c r="E1264" s="8">
        <v>2.0490417869308577</v>
      </c>
      <c r="F1264" s="7">
        <v>0.48803299492385788</v>
      </c>
      <c r="G1264">
        <v>2015</v>
      </c>
    </row>
    <row r="1265" spans="1:7" x14ac:dyDescent="0.25">
      <c r="A1265" t="s">
        <v>16</v>
      </c>
      <c r="B1265" s="3">
        <v>42156</v>
      </c>
      <c r="C1265" s="9">
        <v>384.13</v>
      </c>
      <c r="D1265">
        <v>788</v>
      </c>
      <c r="E1265" s="8">
        <v>2.0513888527321482</v>
      </c>
      <c r="F1265" s="7">
        <v>0.48747461928934011</v>
      </c>
      <c r="G1265">
        <v>2015</v>
      </c>
    </row>
    <row r="1266" spans="1:7" x14ac:dyDescent="0.25">
      <c r="A1266" t="s">
        <v>16</v>
      </c>
      <c r="B1266" s="3">
        <v>42186</v>
      </c>
      <c r="C1266" s="9">
        <v>383.22</v>
      </c>
      <c r="D1266">
        <v>788</v>
      </c>
      <c r="E1266" s="8">
        <v>2.056260111685194</v>
      </c>
      <c r="F1266" s="7">
        <v>0.48631979695431476</v>
      </c>
      <c r="G1266">
        <v>2015</v>
      </c>
    </row>
    <row r="1267" spans="1:7" x14ac:dyDescent="0.25">
      <c r="A1267" t="s">
        <v>16</v>
      </c>
      <c r="B1267" s="3">
        <v>42217</v>
      </c>
      <c r="C1267" s="9">
        <v>387.83</v>
      </c>
      <c r="D1267">
        <v>788</v>
      </c>
      <c r="E1267" s="8">
        <v>2.0318180646159401</v>
      </c>
      <c r="F1267" s="7">
        <v>0.49217005076142128</v>
      </c>
      <c r="G1267">
        <v>2015</v>
      </c>
    </row>
    <row r="1268" spans="1:7" x14ac:dyDescent="0.25">
      <c r="A1268" t="s">
        <v>16</v>
      </c>
      <c r="B1268" s="3">
        <v>42248</v>
      </c>
      <c r="C1268" s="9">
        <v>385.7</v>
      </c>
      <c r="D1268">
        <v>788</v>
      </c>
      <c r="E1268" s="8">
        <v>2.0430386310604098</v>
      </c>
      <c r="F1268" s="7">
        <v>0.4894670050761421</v>
      </c>
      <c r="G1268">
        <v>2015</v>
      </c>
    </row>
    <row r="1269" spans="1:7" x14ac:dyDescent="0.25">
      <c r="A1269" t="s">
        <v>16</v>
      </c>
      <c r="B1269" s="3">
        <v>42278</v>
      </c>
      <c r="C1269" s="9">
        <v>380.8</v>
      </c>
      <c r="D1269">
        <v>788</v>
      </c>
      <c r="E1269" s="8">
        <v>2.0693277310924367</v>
      </c>
      <c r="F1269" s="7">
        <v>0.48324873096446702</v>
      </c>
      <c r="G1269">
        <v>2015</v>
      </c>
    </row>
    <row r="1270" spans="1:7" x14ac:dyDescent="0.25">
      <c r="A1270" t="s">
        <v>16</v>
      </c>
      <c r="B1270" s="3">
        <v>42309</v>
      </c>
      <c r="C1270" s="9">
        <v>404.62</v>
      </c>
      <c r="D1270">
        <v>788</v>
      </c>
      <c r="E1270" s="8">
        <v>1.9475063022094805</v>
      </c>
      <c r="F1270" s="7">
        <v>0.51347715736040611</v>
      </c>
      <c r="G1270">
        <v>2015</v>
      </c>
    </row>
    <row r="1271" spans="1:7" x14ac:dyDescent="0.25">
      <c r="A1271" t="s">
        <v>16</v>
      </c>
      <c r="B1271" s="3">
        <v>42339</v>
      </c>
      <c r="C1271" s="9">
        <v>418.82</v>
      </c>
      <c r="D1271">
        <v>788</v>
      </c>
      <c r="E1271" s="8">
        <v>1.8814765292965951</v>
      </c>
      <c r="F1271" s="7">
        <v>0.53149746192893399</v>
      </c>
      <c r="G1271">
        <v>2015</v>
      </c>
    </row>
    <row r="1272" spans="1:7" x14ac:dyDescent="0.25">
      <c r="A1272" t="s">
        <v>16</v>
      </c>
      <c r="B1272" s="3">
        <v>42370</v>
      </c>
      <c r="C1272" s="9">
        <v>432.64</v>
      </c>
      <c r="D1272">
        <v>880</v>
      </c>
      <c r="E1272" s="8">
        <v>2.0340236686390534</v>
      </c>
      <c r="F1272" s="7">
        <v>0.49163636363636359</v>
      </c>
      <c r="G1272">
        <v>2016</v>
      </c>
    </row>
    <row r="1273" spans="1:7" x14ac:dyDescent="0.25">
      <c r="A1273" t="s">
        <v>16</v>
      </c>
      <c r="B1273" s="3">
        <v>42401</v>
      </c>
      <c r="C1273" s="9">
        <v>416.82</v>
      </c>
      <c r="D1273">
        <v>880</v>
      </c>
      <c r="E1273" s="8">
        <v>2.111223069910273</v>
      </c>
      <c r="F1273" s="7">
        <v>0.47365909090909092</v>
      </c>
      <c r="G1273">
        <v>2016</v>
      </c>
    </row>
    <row r="1274" spans="1:7" x14ac:dyDescent="0.25">
      <c r="A1274" t="s">
        <v>16</v>
      </c>
      <c r="B1274" s="3">
        <v>42430</v>
      </c>
      <c r="C1274" s="9">
        <v>420.9</v>
      </c>
      <c r="D1274">
        <v>880</v>
      </c>
      <c r="E1274" s="8">
        <v>2.0907578997386556</v>
      </c>
      <c r="F1274" s="7">
        <v>0.47829545454545452</v>
      </c>
      <c r="G1274">
        <v>2016</v>
      </c>
    </row>
    <row r="1275" spans="1:7" x14ac:dyDescent="0.25">
      <c r="A1275" t="s">
        <v>16</v>
      </c>
      <c r="B1275" s="3">
        <v>42461</v>
      </c>
      <c r="C1275" s="9">
        <v>426.93</v>
      </c>
      <c r="D1275">
        <v>880</v>
      </c>
      <c r="E1275" s="8">
        <v>2.0612278359450027</v>
      </c>
      <c r="F1275" s="7">
        <v>0.48514772727272726</v>
      </c>
      <c r="G1275">
        <v>2016</v>
      </c>
    </row>
    <row r="1276" spans="1:7" x14ac:dyDescent="0.25">
      <c r="A1276" t="s">
        <v>16</v>
      </c>
      <c r="B1276" s="3">
        <v>42491</v>
      </c>
      <c r="C1276" s="9">
        <v>443.46</v>
      </c>
      <c r="D1276">
        <v>880</v>
      </c>
      <c r="E1276" s="8">
        <v>1.9843954358904976</v>
      </c>
      <c r="F1276" s="7">
        <v>0.5039318181818182</v>
      </c>
      <c r="G1276">
        <v>2016</v>
      </c>
    </row>
    <row r="1277" spans="1:7" x14ac:dyDescent="0.25">
      <c r="A1277" t="s">
        <v>16</v>
      </c>
      <c r="B1277" s="3">
        <v>42522</v>
      </c>
      <c r="C1277" s="9">
        <v>465.03</v>
      </c>
      <c r="D1277">
        <v>880</v>
      </c>
      <c r="E1277" s="8">
        <v>1.8923510311162721</v>
      </c>
      <c r="F1277" s="7">
        <v>0.52844318181818184</v>
      </c>
      <c r="G1277">
        <v>2016</v>
      </c>
    </row>
    <row r="1278" spans="1:7" x14ac:dyDescent="0.25">
      <c r="A1278" t="s">
        <v>16</v>
      </c>
      <c r="B1278" s="3">
        <v>42552</v>
      </c>
      <c r="C1278" s="9">
        <v>468.78</v>
      </c>
      <c r="D1278">
        <v>880</v>
      </c>
      <c r="E1278" s="8">
        <v>1.8772131916890653</v>
      </c>
      <c r="F1278" s="7">
        <v>0.53270454545454538</v>
      </c>
      <c r="G1278">
        <v>2016</v>
      </c>
    </row>
    <row r="1279" spans="1:7" x14ac:dyDescent="0.25">
      <c r="A1279" t="s">
        <v>16</v>
      </c>
      <c r="B1279" s="3">
        <v>42583</v>
      </c>
      <c r="C1279" s="9">
        <v>474.34</v>
      </c>
      <c r="D1279">
        <v>880</v>
      </c>
      <c r="E1279" s="8">
        <v>1.8552093435088757</v>
      </c>
      <c r="F1279" s="7">
        <v>0.53902272727272726</v>
      </c>
      <c r="G1279">
        <v>2016</v>
      </c>
    </row>
    <row r="1280" spans="1:7" x14ac:dyDescent="0.25">
      <c r="A1280" t="s">
        <v>16</v>
      </c>
      <c r="B1280" s="3">
        <v>42614</v>
      </c>
      <c r="C1280" s="9">
        <v>477.69</v>
      </c>
      <c r="D1280">
        <v>880</v>
      </c>
      <c r="E1280" s="8">
        <v>1.8421989156147291</v>
      </c>
      <c r="F1280" s="7">
        <v>0.54282954545454543</v>
      </c>
      <c r="G1280">
        <v>2016</v>
      </c>
    </row>
    <row r="1281" spans="1:7" x14ac:dyDescent="0.25">
      <c r="A1281" t="s">
        <v>16</v>
      </c>
      <c r="B1281" s="3">
        <v>42644</v>
      </c>
      <c r="C1281" s="9">
        <v>478.07</v>
      </c>
      <c r="D1281">
        <v>880</v>
      </c>
      <c r="E1281" s="8">
        <v>1.8407346204530717</v>
      </c>
      <c r="F1281" s="7">
        <v>0.54326136363636368</v>
      </c>
      <c r="G1281">
        <v>2016</v>
      </c>
    </row>
    <row r="1282" spans="1:7" x14ac:dyDescent="0.25">
      <c r="A1282" t="s">
        <v>16</v>
      </c>
      <c r="B1282" s="3">
        <v>42675</v>
      </c>
      <c r="C1282" s="9">
        <v>469.05</v>
      </c>
      <c r="D1282">
        <v>880</v>
      </c>
      <c r="E1282" s="8">
        <v>1.8761326084639163</v>
      </c>
      <c r="F1282" s="7">
        <v>0.5330113636363637</v>
      </c>
      <c r="G1282">
        <v>2016</v>
      </c>
    </row>
    <row r="1283" spans="1:7" x14ac:dyDescent="0.25">
      <c r="A1283" t="s">
        <v>16</v>
      </c>
      <c r="B1283" s="3">
        <v>42705</v>
      </c>
      <c r="C1283" s="9">
        <v>459.02</v>
      </c>
      <c r="D1283">
        <v>880</v>
      </c>
      <c r="E1283" s="8">
        <v>1.9171277939959044</v>
      </c>
      <c r="F1283" s="7">
        <v>0.52161363636363633</v>
      </c>
      <c r="G1283">
        <v>2016</v>
      </c>
    </row>
    <row r="1284" spans="1:7" x14ac:dyDescent="0.25">
      <c r="A1284" t="s">
        <v>16</v>
      </c>
      <c r="B1284" s="3">
        <v>42736</v>
      </c>
      <c r="C1284" s="9">
        <v>453.67</v>
      </c>
      <c r="D1284">
        <v>937</v>
      </c>
      <c r="E1284" s="8">
        <v>2.0653779178698173</v>
      </c>
      <c r="F1284" s="7">
        <v>0.48417289220917825</v>
      </c>
      <c r="G1284">
        <v>2017</v>
      </c>
    </row>
    <row r="1285" spans="1:7" x14ac:dyDescent="0.25">
      <c r="A1285" t="s">
        <v>16</v>
      </c>
      <c r="B1285" s="3">
        <v>42767</v>
      </c>
      <c r="C1285" s="9">
        <v>435.51</v>
      </c>
      <c r="D1285">
        <v>937</v>
      </c>
      <c r="E1285" s="8">
        <v>2.151500539597254</v>
      </c>
      <c r="F1285" s="7">
        <v>0.46479188900747065</v>
      </c>
      <c r="G1285">
        <v>2017</v>
      </c>
    </row>
    <row r="1286" spans="1:7" x14ac:dyDescent="0.25">
      <c r="A1286" t="s">
        <v>16</v>
      </c>
      <c r="B1286" s="3">
        <v>42795</v>
      </c>
      <c r="C1286" s="9">
        <v>437.22</v>
      </c>
      <c r="D1286">
        <v>937</v>
      </c>
      <c r="E1286" s="8">
        <v>2.1430858606651113</v>
      </c>
      <c r="F1286" s="7">
        <v>0.46661686232657418</v>
      </c>
      <c r="G1286">
        <v>2017</v>
      </c>
    </row>
    <row r="1287" spans="1:7" x14ac:dyDescent="0.25">
      <c r="A1287" t="s">
        <v>16</v>
      </c>
      <c r="B1287" s="3">
        <v>42826</v>
      </c>
      <c r="C1287" s="9">
        <v>464.19</v>
      </c>
      <c r="D1287">
        <v>937</v>
      </c>
      <c r="E1287" s="8">
        <v>2.018569982119391</v>
      </c>
      <c r="F1287" s="7">
        <v>0.49540021344717183</v>
      </c>
      <c r="G1287">
        <v>2017</v>
      </c>
    </row>
    <row r="1288" spans="1:7" x14ac:dyDescent="0.25">
      <c r="A1288" t="s">
        <v>16</v>
      </c>
      <c r="B1288" s="3">
        <v>42856</v>
      </c>
      <c r="C1288" s="9">
        <v>460.65</v>
      </c>
      <c r="D1288">
        <v>937</v>
      </c>
      <c r="E1288" s="8">
        <v>2.0340822750461305</v>
      </c>
      <c r="F1288" s="7">
        <v>0.49162219850586975</v>
      </c>
      <c r="G1288">
        <v>2017</v>
      </c>
    </row>
    <row r="1289" spans="1:7" x14ac:dyDescent="0.25">
      <c r="A1289" t="s">
        <v>16</v>
      </c>
      <c r="B1289" s="3">
        <v>42887</v>
      </c>
      <c r="C1289" s="9">
        <v>443.66</v>
      </c>
      <c r="D1289">
        <v>937</v>
      </c>
      <c r="E1289" s="8">
        <v>2.111977640535545</v>
      </c>
      <c r="F1289" s="7">
        <v>0.47348986125933834</v>
      </c>
      <c r="G1289">
        <v>2017</v>
      </c>
    </row>
    <row r="1290" spans="1:7" x14ac:dyDescent="0.25">
      <c r="A1290" t="s">
        <v>16</v>
      </c>
      <c r="B1290" s="3">
        <v>42917</v>
      </c>
      <c r="C1290" s="9">
        <v>453.56</v>
      </c>
      <c r="D1290">
        <v>937</v>
      </c>
      <c r="E1290" s="8">
        <v>2.0658788252932356</v>
      </c>
      <c r="F1290" s="7">
        <v>0.48405549626467448</v>
      </c>
      <c r="G1290">
        <v>2017</v>
      </c>
    </row>
    <row r="1291" spans="1:7" x14ac:dyDescent="0.25">
      <c r="A1291" t="s">
        <v>16</v>
      </c>
      <c r="B1291" s="3">
        <v>42948</v>
      </c>
      <c r="C1291" s="9">
        <v>445.76</v>
      </c>
      <c r="D1291">
        <v>937</v>
      </c>
      <c r="E1291" s="8">
        <v>2.1020279971284999</v>
      </c>
      <c r="F1291" s="7">
        <v>0.47573105656350051</v>
      </c>
      <c r="G1291">
        <v>2017</v>
      </c>
    </row>
    <row r="1292" spans="1:7" x14ac:dyDescent="0.25">
      <c r="A1292" t="s">
        <v>16</v>
      </c>
      <c r="B1292" s="3">
        <v>42979</v>
      </c>
      <c r="C1292" s="9">
        <v>436.68</v>
      </c>
      <c r="D1292">
        <v>937</v>
      </c>
      <c r="E1292" s="8">
        <v>2.1457360080608225</v>
      </c>
      <c r="F1292" s="7">
        <v>0.46604055496264674</v>
      </c>
      <c r="G1292">
        <v>2017</v>
      </c>
    </row>
    <row r="1293" spans="1:7" x14ac:dyDescent="0.25">
      <c r="A1293" t="s">
        <v>16</v>
      </c>
      <c r="B1293" s="3">
        <v>43009</v>
      </c>
      <c r="C1293" s="9">
        <v>446.87</v>
      </c>
      <c r="D1293">
        <v>937</v>
      </c>
      <c r="E1293" s="8">
        <v>2.0968066775572316</v>
      </c>
      <c r="F1293" s="7">
        <v>0.47691568836712916</v>
      </c>
      <c r="G1293">
        <v>2017</v>
      </c>
    </row>
    <row r="1294" spans="1:7" x14ac:dyDescent="0.25">
      <c r="A1294" t="s">
        <v>16</v>
      </c>
      <c r="B1294" s="3">
        <v>43040</v>
      </c>
      <c r="C1294" s="9">
        <v>444.16</v>
      </c>
      <c r="D1294">
        <v>937</v>
      </c>
      <c r="E1294" s="8">
        <v>2.109600144092219</v>
      </c>
      <c r="F1294" s="7">
        <v>0.47402347918890075</v>
      </c>
      <c r="G1294">
        <v>2017</v>
      </c>
    </row>
    <row r="1295" spans="1:7" x14ac:dyDescent="0.25">
      <c r="A1295" t="s">
        <v>16</v>
      </c>
      <c r="B1295" s="3">
        <v>43070</v>
      </c>
      <c r="C1295" s="9">
        <v>426.74</v>
      </c>
      <c r="D1295">
        <v>937</v>
      </c>
      <c r="E1295" s="8">
        <v>2.19571636125041</v>
      </c>
      <c r="F1295" s="7">
        <v>0.45543223052294557</v>
      </c>
      <c r="G1295">
        <v>2017</v>
      </c>
    </row>
    <row r="1296" spans="1:7" x14ac:dyDescent="0.25">
      <c r="A1296" t="s">
        <v>16</v>
      </c>
      <c r="B1296" s="3">
        <v>43101</v>
      </c>
      <c r="C1296" s="9">
        <v>446.69</v>
      </c>
      <c r="D1296">
        <v>954</v>
      </c>
      <c r="E1296" s="8">
        <v>2.1357093286171618</v>
      </c>
      <c r="F1296" s="7">
        <v>0.46822851153039829</v>
      </c>
      <c r="G1296">
        <v>2018</v>
      </c>
    </row>
    <row r="1297" spans="1:7" x14ac:dyDescent="0.25">
      <c r="A1297" t="s">
        <v>16</v>
      </c>
      <c r="B1297" s="3">
        <v>43132</v>
      </c>
      <c r="C1297" s="9">
        <v>434.5</v>
      </c>
      <c r="D1297">
        <v>954</v>
      </c>
      <c r="E1297" s="8">
        <v>2.1956271576524742</v>
      </c>
      <c r="F1297" s="7">
        <v>0.45545073375262052</v>
      </c>
      <c r="G1297">
        <v>2018</v>
      </c>
    </row>
    <row r="1298" spans="1:7" x14ac:dyDescent="0.25">
      <c r="A1298" t="s">
        <v>16</v>
      </c>
      <c r="B1298" s="3">
        <v>43160</v>
      </c>
      <c r="C1298" s="9">
        <v>434.7</v>
      </c>
      <c r="D1298">
        <v>954</v>
      </c>
      <c r="E1298" s="8">
        <v>2.1946169772256727</v>
      </c>
      <c r="F1298" s="7">
        <v>0.45566037735849058</v>
      </c>
      <c r="G1298">
        <v>2018</v>
      </c>
    </row>
    <row r="1299" spans="1:7" x14ac:dyDescent="0.25">
      <c r="A1299" t="s">
        <v>16</v>
      </c>
      <c r="B1299" s="3">
        <v>43191</v>
      </c>
      <c r="C1299" s="9">
        <v>430.29</v>
      </c>
      <c r="D1299">
        <v>954</v>
      </c>
      <c r="E1299" s="8">
        <v>2.2171093913407236</v>
      </c>
      <c r="F1299" s="7">
        <v>0.4510377358490566</v>
      </c>
      <c r="G1299">
        <v>2018</v>
      </c>
    </row>
    <row r="1300" spans="1:7" x14ac:dyDescent="0.25">
      <c r="A1300" t="s">
        <v>16</v>
      </c>
      <c r="B1300" s="3">
        <v>43221</v>
      </c>
      <c r="C1300" s="9">
        <v>437.73</v>
      </c>
      <c r="D1300">
        <v>954</v>
      </c>
      <c r="E1300" s="8">
        <v>2.1794256733602904</v>
      </c>
      <c r="F1300" s="7">
        <v>0.45883647798742139</v>
      </c>
      <c r="G1300">
        <v>2018</v>
      </c>
    </row>
    <row r="1301" spans="1:7" x14ac:dyDescent="0.25">
      <c r="A1301" t="s">
        <v>16</v>
      </c>
      <c r="B1301" s="3">
        <v>43252</v>
      </c>
      <c r="C1301" s="9">
        <v>452.81</v>
      </c>
      <c r="D1301">
        <v>954</v>
      </c>
      <c r="E1301" s="8">
        <v>2.1068439301252182</v>
      </c>
      <c r="F1301" s="7">
        <v>0.47464360587002097</v>
      </c>
      <c r="G1301">
        <v>2018</v>
      </c>
    </row>
    <row r="1302" spans="1:7" x14ac:dyDescent="0.25">
      <c r="A1302" t="s">
        <v>16</v>
      </c>
      <c r="B1302" s="3">
        <v>43282</v>
      </c>
      <c r="C1302" s="9">
        <v>435.02</v>
      </c>
      <c r="D1302">
        <v>954</v>
      </c>
      <c r="E1302" s="8">
        <v>2.1930026205691693</v>
      </c>
      <c r="F1302" s="7">
        <v>0.45599580712788257</v>
      </c>
      <c r="G1302">
        <v>2018</v>
      </c>
    </row>
    <row r="1303" spans="1:7" x14ac:dyDescent="0.25">
      <c r="A1303" t="s">
        <v>16</v>
      </c>
      <c r="B1303" s="3">
        <v>43313</v>
      </c>
      <c r="C1303" s="9">
        <v>419.81</v>
      </c>
      <c r="D1303">
        <v>954</v>
      </c>
      <c r="E1303" s="8">
        <v>2.2724565875038709</v>
      </c>
      <c r="F1303" s="7">
        <v>0.44005241090146752</v>
      </c>
      <c r="G1303">
        <v>2018</v>
      </c>
    </row>
    <row r="1304" spans="1:7" x14ac:dyDescent="0.25">
      <c r="A1304" t="s">
        <v>16</v>
      </c>
      <c r="B1304" s="3">
        <v>43344</v>
      </c>
      <c r="C1304" s="9">
        <v>423.01</v>
      </c>
      <c r="D1304">
        <v>954</v>
      </c>
      <c r="E1304" s="8">
        <v>2.2552658329590316</v>
      </c>
      <c r="F1304" s="7">
        <v>0.44340670859538783</v>
      </c>
      <c r="G1304">
        <v>2018</v>
      </c>
    </row>
    <row r="1305" spans="1:7" x14ac:dyDescent="0.25">
      <c r="A1305" t="s">
        <v>16</v>
      </c>
      <c r="B1305" s="3">
        <v>43374</v>
      </c>
      <c r="C1305" s="9">
        <v>449.89</v>
      </c>
      <c r="D1305">
        <v>954</v>
      </c>
      <c r="E1305" s="8">
        <v>2.1205183489297386</v>
      </c>
      <c r="F1305" s="7">
        <v>0.47158280922431867</v>
      </c>
      <c r="G1305">
        <v>2018</v>
      </c>
    </row>
    <row r="1306" spans="1:7" x14ac:dyDescent="0.25">
      <c r="A1306" t="s">
        <v>16</v>
      </c>
      <c r="B1306" s="3">
        <v>43405</v>
      </c>
      <c r="C1306" s="9">
        <v>463.09</v>
      </c>
      <c r="D1306">
        <v>954</v>
      </c>
      <c r="E1306" s="8">
        <v>2.0600747154980676</v>
      </c>
      <c r="F1306" s="7">
        <v>0.48541928721173999</v>
      </c>
      <c r="G1306">
        <v>2018</v>
      </c>
    </row>
    <row r="1307" spans="1:7" x14ac:dyDescent="0.25">
      <c r="A1307" t="s">
        <v>16</v>
      </c>
      <c r="B1307" s="3">
        <v>43435</v>
      </c>
      <c r="C1307" s="9">
        <v>464.72</v>
      </c>
      <c r="D1307">
        <v>954</v>
      </c>
      <c r="E1307" s="8">
        <v>2.05284902737132</v>
      </c>
      <c r="F1307" s="7">
        <v>0.48712788259958073</v>
      </c>
      <c r="G1307">
        <v>2018</v>
      </c>
    </row>
    <row r="1308" spans="1:7" x14ac:dyDescent="0.25">
      <c r="A1308" t="s">
        <v>16</v>
      </c>
      <c r="B1308" s="3">
        <v>43466</v>
      </c>
      <c r="C1308" s="9">
        <v>441.65</v>
      </c>
      <c r="D1308">
        <v>998</v>
      </c>
      <c r="E1308" s="8">
        <v>2.25970791350617</v>
      </c>
      <c r="F1308" s="7">
        <v>0.44253507014028054</v>
      </c>
      <c r="G1308">
        <v>2019</v>
      </c>
    </row>
    <row r="1309" spans="1:7" x14ac:dyDescent="0.25">
      <c r="A1309" t="s">
        <v>16</v>
      </c>
      <c r="B1309" s="3">
        <v>43497</v>
      </c>
      <c r="C1309" s="9">
        <v>449.95</v>
      </c>
      <c r="D1309">
        <v>998</v>
      </c>
      <c r="E1309" s="8">
        <v>2.2180242249138793</v>
      </c>
      <c r="F1309" s="7">
        <v>0.45085170340681363</v>
      </c>
      <c r="G1309">
        <v>2019</v>
      </c>
    </row>
    <row r="1310" spans="1:7" x14ac:dyDescent="0.25">
      <c r="A1310" t="s">
        <v>16</v>
      </c>
      <c r="B1310" s="3">
        <v>43525</v>
      </c>
      <c r="C1310" s="9">
        <v>479.53</v>
      </c>
      <c r="D1310">
        <v>998</v>
      </c>
      <c r="E1310" s="8">
        <v>2.0812045127520697</v>
      </c>
      <c r="F1310" s="7">
        <v>0.48049098196392781</v>
      </c>
      <c r="G1310">
        <v>2019</v>
      </c>
    </row>
    <row r="1311" spans="1:7" x14ac:dyDescent="0.25">
      <c r="A1311" t="s">
        <v>16</v>
      </c>
      <c r="B1311" s="3">
        <v>43556</v>
      </c>
      <c r="C1311" s="9">
        <v>499.38</v>
      </c>
      <c r="D1311">
        <v>998</v>
      </c>
      <c r="E1311" s="8">
        <v>1.9984781128599463</v>
      </c>
      <c r="F1311" s="7">
        <v>0.50038076152304611</v>
      </c>
      <c r="G1311">
        <v>2019</v>
      </c>
    </row>
    <row r="1312" spans="1:7" x14ac:dyDescent="0.25">
      <c r="A1312" t="s">
        <v>16</v>
      </c>
      <c r="B1312" s="3">
        <v>43586</v>
      </c>
      <c r="C1312" s="9">
        <v>496.13</v>
      </c>
      <c r="D1312">
        <v>998</v>
      </c>
      <c r="E1312" s="8">
        <v>2.0115695483038718</v>
      </c>
      <c r="F1312" s="7">
        <v>0.49712424849699399</v>
      </c>
      <c r="G1312">
        <v>2019</v>
      </c>
    </row>
    <row r="1313" spans="1:7" x14ac:dyDescent="0.25">
      <c r="A1313" t="s">
        <v>16</v>
      </c>
      <c r="B1313" s="3">
        <v>43617</v>
      </c>
      <c r="C1313" s="9">
        <v>498.41</v>
      </c>
      <c r="D1313">
        <v>998</v>
      </c>
      <c r="E1313" s="8">
        <v>2.0023675287413973</v>
      </c>
      <c r="F1313" s="7">
        <v>0.49940881763527056</v>
      </c>
      <c r="G1313">
        <v>2019</v>
      </c>
    </row>
    <row r="1314" spans="1:7" x14ac:dyDescent="0.25">
      <c r="A1314" t="s">
        <v>16</v>
      </c>
      <c r="B1314" s="3">
        <v>43647</v>
      </c>
      <c r="C1314" s="9">
        <v>493.22</v>
      </c>
      <c r="D1314">
        <v>998</v>
      </c>
      <c r="E1314" s="8">
        <v>2.0234378167957501</v>
      </c>
      <c r="F1314" s="7">
        <v>0.49420841683366734</v>
      </c>
      <c r="G1314">
        <v>2019</v>
      </c>
    </row>
    <row r="1315" spans="1:7" x14ac:dyDescent="0.25">
      <c r="A1315" t="s">
        <v>16</v>
      </c>
      <c r="B1315" s="3">
        <v>43678</v>
      </c>
      <c r="C1315" s="9">
        <v>469.17</v>
      </c>
      <c r="D1315">
        <v>998</v>
      </c>
      <c r="E1315" s="8">
        <v>2.1271607306520024</v>
      </c>
      <c r="F1315" s="7">
        <v>0.4701102204408818</v>
      </c>
      <c r="G1315">
        <v>2019</v>
      </c>
    </row>
    <row r="1316" spans="1:7" x14ac:dyDescent="0.25">
      <c r="A1316" t="s">
        <v>16</v>
      </c>
      <c r="B1316" s="3">
        <v>43709</v>
      </c>
      <c r="C1316" s="9">
        <v>458.29</v>
      </c>
      <c r="D1316">
        <v>998</v>
      </c>
      <c r="E1316" s="8">
        <v>2.177660433350062</v>
      </c>
      <c r="F1316" s="7">
        <v>0.45920841683366737</v>
      </c>
      <c r="G1316">
        <v>2019</v>
      </c>
    </row>
    <row r="1317" spans="1:7" x14ac:dyDescent="0.25">
      <c r="A1317" t="s">
        <v>16</v>
      </c>
      <c r="B1317" s="3">
        <v>43739</v>
      </c>
      <c r="C1317" s="9">
        <v>463.24</v>
      </c>
      <c r="D1317">
        <v>998</v>
      </c>
      <c r="E1317" s="8">
        <v>2.1543908125377773</v>
      </c>
      <c r="F1317" s="7">
        <v>0.46416833667334673</v>
      </c>
      <c r="G1317">
        <v>2019</v>
      </c>
    </row>
    <row r="1318" spans="1:7" x14ac:dyDescent="0.25">
      <c r="A1318" t="s">
        <v>16</v>
      </c>
      <c r="B1318" s="3">
        <v>43770</v>
      </c>
      <c r="C1318" s="9">
        <v>453.82</v>
      </c>
      <c r="D1318">
        <v>998</v>
      </c>
      <c r="E1318" s="8">
        <v>2.1991097792076153</v>
      </c>
      <c r="F1318" s="7">
        <v>0.45472945891783567</v>
      </c>
      <c r="G1318">
        <v>2019</v>
      </c>
    </row>
    <row r="1319" spans="1:7" x14ac:dyDescent="0.25">
      <c r="A1319" t="s">
        <v>16</v>
      </c>
      <c r="B1319" s="3">
        <v>43800</v>
      </c>
      <c r="C1319" s="9">
        <v>506.3</v>
      </c>
      <c r="D1319">
        <v>998</v>
      </c>
      <c r="E1319" s="8">
        <v>1.9711633418921588</v>
      </c>
      <c r="F1319" s="7">
        <v>0.507314629258517</v>
      </c>
      <c r="G1319">
        <v>2019</v>
      </c>
    </row>
    <row r="1320" spans="1:7" x14ac:dyDescent="0.25">
      <c r="A1320" t="s">
        <v>16</v>
      </c>
      <c r="B1320" s="3">
        <v>43831</v>
      </c>
      <c r="C1320" s="9">
        <v>502.98</v>
      </c>
      <c r="D1320">
        <v>1039</v>
      </c>
      <c r="E1320" s="8">
        <v>2.0656884965604991</v>
      </c>
      <c r="F1320" s="7">
        <v>0.48410009624639078</v>
      </c>
      <c r="G1320">
        <v>2020</v>
      </c>
    </row>
    <row r="1321" spans="1:7" x14ac:dyDescent="0.25">
      <c r="A1321" t="s">
        <v>16</v>
      </c>
      <c r="B1321" s="3">
        <v>43862</v>
      </c>
      <c r="C1321" s="9">
        <v>492.83</v>
      </c>
      <c r="D1321">
        <v>1045</v>
      </c>
      <c r="E1321" s="8">
        <v>2.1204066310898284</v>
      </c>
      <c r="F1321" s="7">
        <v>0.47160765550239231</v>
      </c>
      <c r="G1321">
        <v>2020</v>
      </c>
    </row>
    <row r="1322" spans="1:7" x14ac:dyDescent="0.25">
      <c r="A1322" t="s">
        <v>16</v>
      </c>
      <c r="B1322" s="3">
        <v>43891</v>
      </c>
      <c r="C1322" s="9">
        <v>497.88</v>
      </c>
      <c r="D1322">
        <v>1045</v>
      </c>
      <c r="E1322" s="8">
        <v>2.098899333172652</v>
      </c>
      <c r="F1322" s="7">
        <v>0.47644019138755983</v>
      </c>
      <c r="G1322">
        <v>2020</v>
      </c>
    </row>
    <row r="1323" spans="1:7" x14ac:dyDescent="0.25">
      <c r="A1323" t="s">
        <v>16</v>
      </c>
      <c r="B1323" s="3">
        <v>43922</v>
      </c>
      <c r="C1323" s="9">
        <v>527.01</v>
      </c>
      <c r="D1323">
        <v>1045</v>
      </c>
      <c r="E1323" s="8">
        <v>1.9828845752452515</v>
      </c>
      <c r="F1323" s="7">
        <v>0.50431578947368416</v>
      </c>
      <c r="G1323">
        <v>2020</v>
      </c>
    </row>
    <row r="1324" spans="1:7" x14ac:dyDescent="0.25">
      <c r="A1324" t="s">
        <v>16</v>
      </c>
      <c r="B1324" s="3">
        <v>43952</v>
      </c>
      <c r="C1324" s="9">
        <v>518.63</v>
      </c>
      <c r="D1324">
        <v>1045</v>
      </c>
      <c r="E1324" s="8">
        <v>2.0149239342112875</v>
      </c>
      <c r="F1324" s="7">
        <v>0.49629665071770335</v>
      </c>
      <c r="G1324">
        <v>2020</v>
      </c>
    </row>
    <row r="1325" spans="1:7" x14ac:dyDescent="0.25">
      <c r="A1325" t="s">
        <v>16</v>
      </c>
      <c r="B1325" s="3">
        <v>43983</v>
      </c>
      <c r="C1325" s="9">
        <v>512.4</v>
      </c>
      <c r="D1325">
        <v>1045</v>
      </c>
      <c r="E1325" s="8">
        <v>2.0394223263075721</v>
      </c>
      <c r="F1325" s="7">
        <v>0.49033492822966507</v>
      </c>
      <c r="G1325">
        <v>2020</v>
      </c>
    </row>
    <row r="1326" spans="1:7" x14ac:dyDescent="0.25">
      <c r="A1326" t="s">
        <v>16</v>
      </c>
      <c r="B1326" s="3">
        <v>44013</v>
      </c>
      <c r="C1326" s="9">
        <v>511.22</v>
      </c>
      <c r="D1326">
        <v>1045</v>
      </c>
      <c r="E1326" s="8">
        <v>2.0441297288838465</v>
      </c>
      <c r="F1326" s="7">
        <v>0.48920574162679431</v>
      </c>
      <c r="G1326">
        <v>2020</v>
      </c>
    </row>
    <row r="1327" spans="1:7" x14ac:dyDescent="0.25">
      <c r="A1327" t="s">
        <v>16</v>
      </c>
      <c r="B1327" s="3">
        <v>44044</v>
      </c>
      <c r="C1327" s="9">
        <v>528.61</v>
      </c>
      <c r="D1327">
        <v>1045</v>
      </c>
      <c r="E1327" s="8">
        <v>1.976882768014226</v>
      </c>
      <c r="F1327" s="7">
        <v>0.5058468899521531</v>
      </c>
      <c r="G1327">
        <v>2020</v>
      </c>
    </row>
    <row r="1328" spans="1:7" x14ac:dyDescent="0.25">
      <c r="A1328" t="s">
        <v>16</v>
      </c>
      <c r="B1328" s="3">
        <v>44075</v>
      </c>
      <c r="C1328" s="9">
        <v>552.86</v>
      </c>
      <c r="D1328">
        <v>1045</v>
      </c>
      <c r="E1328" s="8">
        <v>1.8901711102268204</v>
      </c>
      <c r="F1328" s="7">
        <v>0.52905263157894733</v>
      </c>
      <c r="G1328">
        <v>2020</v>
      </c>
    </row>
    <row r="1329" spans="1:7" x14ac:dyDescent="0.25">
      <c r="A1329" t="s">
        <v>16</v>
      </c>
      <c r="B1329" s="3">
        <v>44105</v>
      </c>
      <c r="C1329" s="9">
        <v>581.39</v>
      </c>
      <c r="D1329">
        <v>1045</v>
      </c>
      <c r="E1329" s="8">
        <v>1.7974165362321335</v>
      </c>
      <c r="F1329" s="7">
        <v>0.55635406698564593</v>
      </c>
      <c r="G1329">
        <v>2020</v>
      </c>
    </row>
    <row r="1330" spans="1:7" x14ac:dyDescent="0.25">
      <c r="A1330" t="s">
        <v>16</v>
      </c>
      <c r="B1330" s="3">
        <v>44136</v>
      </c>
      <c r="C1330" s="9">
        <v>617.03</v>
      </c>
      <c r="D1330">
        <v>1045</v>
      </c>
      <c r="E1330" s="8">
        <v>1.6935967457011816</v>
      </c>
      <c r="F1330" s="7">
        <v>0.59045933014354068</v>
      </c>
      <c r="G1330">
        <v>2020</v>
      </c>
    </row>
    <row r="1331" spans="1:7" x14ac:dyDescent="0.25">
      <c r="A1331" t="s">
        <v>16</v>
      </c>
      <c r="B1331" s="3">
        <v>44166</v>
      </c>
      <c r="C1331" s="9">
        <v>615.66</v>
      </c>
      <c r="D1331">
        <v>1045</v>
      </c>
      <c r="E1331" s="8">
        <v>1.6973654289705358</v>
      </c>
      <c r="F1331" s="7">
        <v>0.58914832535885164</v>
      </c>
      <c r="G1331">
        <v>2020</v>
      </c>
    </row>
    <row r="1332" spans="1:7" x14ac:dyDescent="0.25">
      <c r="A1332" t="s">
        <v>16</v>
      </c>
      <c r="B1332" s="3">
        <v>44197</v>
      </c>
      <c r="C1332" s="9">
        <v>626.25</v>
      </c>
      <c r="D1332">
        <v>1100</v>
      </c>
      <c r="E1332" s="8">
        <v>1.7564870259481038</v>
      </c>
      <c r="F1332" s="7">
        <v>0.56931818181818183</v>
      </c>
      <c r="G1332">
        <v>2021</v>
      </c>
    </row>
    <row r="1333" spans="1:7" x14ac:dyDescent="0.25">
      <c r="A1333" t="s">
        <v>16</v>
      </c>
      <c r="B1333" s="3">
        <v>44228</v>
      </c>
      <c r="C1333" s="9">
        <v>632.66999999999996</v>
      </c>
      <c r="D1333">
        <v>1100</v>
      </c>
      <c r="E1333" s="8">
        <v>1.7386631261163008</v>
      </c>
      <c r="F1333" s="7">
        <v>0.57515454545454536</v>
      </c>
      <c r="G1333">
        <v>2021</v>
      </c>
    </row>
    <row r="1334" spans="1:7" x14ac:dyDescent="0.25">
      <c r="A1334" t="s">
        <v>16</v>
      </c>
      <c r="B1334" s="3">
        <v>44256</v>
      </c>
      <c r="C1334" s="9">
        <v>623.37</v>
      </c>
      <c r="D1334">
        <v>1100</v>
      </c>
      <c r="E1334" s="8">
        <v>1.7646020822304571</v>
      </c>
      <c r="F1334" s="7">
        <v>0.56669999999999998</v>
      </c>
      <c r="G1334">
        <v>2021</v>
      </c>
    </row>
    <row r="1335" spans="1:7" x14ac:dyDescent="0.25">
      <c r="A1335" t="s">
        <v>16</v>
      </c>
      <c r="B1335" s="3">
        <v>44287</v>
      </c>
      <c r="C1335" s="9">
        <v>626.11</v>
      </c>
      <c r="D1335">
        <v>1100</v>
      </c>
      <c r="E1335" s="8">
        <v>1.7568797815080417</v>
      </c>
      <c r="F1335" s="7">
        <v>0.56919090909090908</v>
      </c>
      <c r="G1335">
        <v>2021</v>
      </c>
    </row>
    <row r="1336" spans="1:7" x14ac:dyDescent="0.25">
      <c r="A1336" t="s">
        <v>16</v>
      </c>
      <c r="B1336" s="3">
        <v>44317</v>
      </c>
      <c r="C1336" s="9">
        <v>636.96</v>
      </c>
      <c r="D1336">
        <v>1100</v>
      </c>
      <c r="E1336" s="8">
        <v>1.7269530268776689</v>
      </c>
      <c r="F1336" s="7">
        <v>0.57905454545454549</v>
      </c>
      <c r="G1336">
        <v>2021</v>
      </c>
    </row>
    <row r="1337" spans="1:7" x14ac:dyDescent="0.25">
      <c r="A1337" t="s">
        <v>16</v>
      </c>
      <c r="B1337" s="3">
        <v>44348</v>
      </c>
      <c r="C1337" s="9">
        <v>642.30999999999995</v>
      </c>
      <c r="D1337">
        <v>1100</v>
      </c>
      <c r="E1337" s="8">
        <v>1.7125686973579737</v>
      </c>
      <c r="F1337" s="7">
        <v>0.58391818181818178</v>
      </c>
      <c r="G1337">
        <v>2021</v>
      </c>
    </row>
    <row r="1338" spans="1:7" x14ac:dyDescent="0.25">
      <c r="A1338" t="s">
        <v>16</v>
      </c>
      <c r="B1338" s="3">
        <v>44378</v>
      </c>
      <c r="C1338" s="9">
        <v>656.92</v>
      </c>
      <c r="D1338">
        <v>1100</v>
      </c>
      <c r="E1338" s="8">
        <v>1.6744809109176158</v>
      </c>
      <c r="F1338" s="7">
        <v>0.59719999999999995</v>
      </c>
      <c r="G1338">
        <v>2021</v>
      </c>
    </row>
    <row r="1339" spans="1:7" x14ac:dyDescent="0.25">
      <c r="A1339" t="s">
        <v>16</v>
      </c>
      <c r="B1339" s="3">
        <v>44409</v>
      </c>
      <c r="C1339" s="9">
        <v>664.67</v>
      </c>
      <c r="D1339">
        <v>1100</v>
      </c>
      <c r="E1339" s="8">
        <v>1.6549565950020313</v>
      </c>
      <c r="F1339" s="7">
        <v>0.60424545454545453</v>
      </c>
      <c r="G1339">
        <v>2021</v>
      </c>
    </row>
    <row r="1340" spans="1:7" x14ac:dyDescent="0.25">
      <c r="A1340" t="s">
        <v>16</v>
      </c>
      <c r="B1340" s="3">
        <v>44440</v>
      </c>
      <c r="C1340" s="9">
        <v>672.39</v>
      </c>
      <c r="D1340">
        <v>1100</v>
      </c>
      <c r="E1340" s="8">
        <v>1.6359553235473461</v>
      </c>
      <c r="F1340" s="7">
        <v>0.61126363636363634</v>
      </c>
      <c r="G1340">
        <v>2021</v>
      </c>
    </row>
    <row r="1341" spans="1:7" x14ac:dyDescent="0.25">
      <c r="A1341" t="s">
        <v>16</v>
      </c>
      <c r="B1341" s="3">
        <v>44470</v>
      </c>
      <c r="C1341" s="9">
        <v>691.08</v>
      </c>
      <c r="D1341">
        <v>1100</v>
      </c>
      <c r="E1341" s="8">
        <v>1.5917115239914337</v>
      </c>
      <c r="F1341" s="7">
        <v>0.62825454545454551</v>
      </c>
      <c r="G1341">
        <v>2021</v>
      </c>
    </row>
    <row r="1342" spans="1:7" x14ac:dyDescent="0.25">
      <c r="A1342" t="s">
        <v>16</v>
      </c>
      <c r="B1342" s="3">
        <v>44501</v>
      </c>
      <c r="C1342" s="9">
        <v>685.32</v>
      </c>
      <c r="D1342">
        <v>1100</v>
      </c>
      <c r="E1342" s="8">
        <v>1.6050895931827467</v>
      </c>
      <c r="F1342" s="7">
        <v>0.62301818181818192</v>
      </c>
      <c r="G1342">
        <v>2021</v>
      </c>
    </row>
    <row r="1343" spans="1:7" x14ac:dyDescent="0.25">
      <c r="A1343" t="s">
        <v>16</v>
      </c>
      <c r="B1343" s="3">
        <v>44531</v>
      </c>
      <c r="C1343" s="9">
        <v>682.9</v>
      </c>
      <c r="D1343">
        <v>1100</v>
      </c>
      <c r="E1343" s="8">
        <v>1.6107775662615318</v>
      </c>
      <c r="F1343" s="7">
        <v>0.62081818181818182</v>
      </c>
      <c r="G1343">
        <v>2021</v>
      </c>
    </row>
    <row r="1344" spans="1:7" x14ac:dyDescent="0.25">
      <c r="A1344" t="s">
        <v>16</v>
      </c>
      <c r="B1344" s="3">
        <v>44562</v>
      </c>
      <c r="C1344" s="9">
        <v>673</v>
      </c>
      <c r="D1344">
        <v>1212</v>
      </c>
      <c r="E1344" s="8">
        <v>1.8008915304606241</v>
      </c>
      <c r="F1344" s="7">
        <v>0.55528052805280526</v>
      </c>
      <c r="G1344">
        <v>2022</v>
      </c>
    </row>
    <row r="1345" spans="1:7" x14ac:dyDescent="0.25">
      <c r="A1345" t="s">
        <v>16</v>
      </c>
      <c r="B1345" s="3">
        <v>44593</v>
      </c>
      <c r="C1345" s="9">
        <v>695.91</v>
      </c>
      <c r="D1345">
        <v>1212</v>
      </c>
      <c r="E1345" s="8">
        <v>1.741604517825581</v>
      </c>
      <c r="F1345" s="7">
        <v>0.57418316831683169</v>
      </c>
      <c r="G1345">
        <v>2022</v>
      </c>
    </row>
    <row r="1346" spans="1:7" x14ac:dyDescent="0.25">
      <c r="A1346" t="s">
        <v>16</v>
      </c>
      <c r="B1346" s="3">
        <v>44621</v>
      </c>
      <c r="C1346" s="9">
        <v>734.28</v>
      </c>
      <c r="D1346">
        <v>1212</v>
      </c>
      <c r="E1346" s="8">
        <v>1.650596502696519</v>
      </c>
      <c r="F1346" s="7">
        <v>0.60584158415841582</v>
      </c>
      <c r="G1346">
        <v>2022</v>
      </c>
    </row>
    <row r="1347" spans="1:7" x14ac:dyDescent="0.25">
      <c r="A1347" t="s">
        <v>16</v>
      </c>
      <c r="B1347" s="3">
        <v>44652</v>
      </c>
      <c r="C1347" s="9">
        <v>780.86</v>
      </c>
      <c r="D1347">
        <v>1212</v>
      </c>
      <c r="E1347" s="8">
        <v>1.5521348257049918</v>
      </c>
      <c r="F1347" s="7">
        <v>0.64427392739273925</v>
      </c>
      <c r="G1347">
        <v>2022</v>
      </c>
    </row>
    <row r="1348" spans="1:7" x14ac:dyDescent="0.25">
      <c r="A1348" t="s">
        <v>16</v>
      </c>
      <c r="B1348" s="3">
        <v>44682</v>
      </c>
      <c r="C1348" s="9">
        <v>768.76</v>
      </c>
      <c r="D1348">
        <v>1212</v>
      </c>
      <c r="E1348" s="8">
        <v>1.5765648576929081</v>
      </c>
      <c r="F1348" s="7">
        <v>0.63429042904290434</v>
      </c>
      <c r="G1348">
        <v>2022</v>
      </c>
    </row>
    <row r="1349" spans="1:7" x14ac:dyDescent="0.25">
      <c r="A1349" t="s">
        <v>16</v>
      </c>
      <c r="B1349" s="3">
        <v>44713</v>
      </c>
      <c r="C1349" s="9">
        <v>754.19</v>
      </c>
      <c r="D1349">
        <v>1212</v>
      </c>
      <c r="E1349" s="8">
        <v>1.6070221031835479</v>
      </c>
      <c r="F1349" s="7">
        <v>0.62226897689768979</v>
      </c>
      <c r="G1349">
        <v>2022</v>
      </c>
    </row>
    <row r="1350" spans="1:7" x14ac:dyDescent="0.25">
      <c r="A1350" t="s">
        <v>16</v>
      </c>
      <c r="B1350" s="3">
        <v>44743</v>
      </c>
      <c r="C1350" s="9">
        <v>752.84</v>
      </c>
      <c r="D1350">
        <v>1212</v>
      </c>
      <c r="E1350" s="8">
        <v>1.6099038308272673</v>
      </c>
      <c r="F1350" s="7">
        <v>0.62115511551155123</v>
      </c>
      <c r="G1350">
        <v>2022</v>
      </c>
    </row>
    <row r="1351" spans="1:7" x14ac:dyDescent="0.25">
      <c r="A1351" t="s">
        <v>16</v>
      </c>
      <c r="B1351" s="3">
        <v>44774</v>
      </c>
      <c r="C1351" s="9">
        <v>748.06</v>
      </c>
      <c r="D1351">
        <v>1212</v>
      </c>
      <c r="E1351" s="8">
        <v>1.6201908937785741</v>
      </c>
      <c r="F1351" s="7">
        <v>0.61721122112211213</v>
      </c>
      <c r="G1351">
        <v>2022</v>
      </c>
    </row>
    <row r="1352" spans="1:7" x14ac:dyDescent="0.25">
      <c r="A1352" t="s">
        <v>16</v>
      </c>
      <c r="B1352" s="3">
        <v>44805</v>
      </c>
      <c r="C1352" s="9">
        <v>743.94</v>
      </c>
      <c r="D1352">
        <v>1212</v>
      </c>
      <c r="E1352" s="8">
        <v>1.629163642229212</v>
      </c>
      <c r="F1352" s="7">
        <v>0.6138118811881188</v>
      </c>
      <c r="G1352">
        <v>2022</v>
      </c>
    </row>
    <row r="1353" spans="1:7" x14ac:dyDescent="0.25">
      <c r="A1353" t="s">
        <v>16</v>
      </c>
      <c r="B1353" s="3">
        <v>44835</v>
      </c>
      <c r="C1353" s="9">
        <v>768.82</v>
      </c>
      <c r="D1353">
        <v>1212</v>
      </c>
      <c r="E1353" s="8">
        <v>1.5764418199318435</v>
      </c>
      <c r="F1353" s="7">
        <v>0.63433993399339939</v>
      </c>
      <c r="G1353">
        <v>2022</v>
      </c>
    </row>
    <row r="1354" spans="1:7" x14ac:dyDescent="0.25">
      <c r="A1354" t="s">
        <v>16</v>
      </c>
      <c r="B1354" s="3">
        <v>44866</v>
      </c>
      <c r="C1354" s="9">
        <v>781.52</v>
      </c>
      <c r="D1354">
        <v>1212</v>
      </c>
      <c r="E1354" s="8">
        <v>1.5508240352134304</v>
      </c>
      <c r="F1354" s="7">
        <v>0.6448184818481848</v>
      </c>
      <c r="G1354">
        <v>2022</v>
      </c>
    </row>
    <row r="1355" spans="1:7" x14ac:dyDescent="0.25">
      <c r="A1355" t="s">
        <v>16</v>
      </c>
      <c r="B1355" s="3">
        <v>44896</v>
      </c>
      <c r="C1355" s="9">
        <v>765.63</v>
      </c>
      <c r="D1355">
        <v>1212</v>
      </c>
      <c r="E1355" s="8">
        <v>1.5830100701383174</v>
      </c>
      <c r="F1355" s="7">
        <v>0.63170792079207916</v>
      </c>
      <c r="G1355">
        <v>2022</v>
      </c>
    </row>
    <row r="1356" spans="1:7" x14ac:dyDescent="0.25">
      <c r="A1356" t="s">
        <v>16</v>
      </c>
      <c r="B1356" s="3">
        <v>44927</v>
      </c>
      <c r="C1356" s="9">
        <v>757.33</v>
      </c>
      <c r="D1356">
        <v>1302</v>
      </c>
      <c r="E1356" s="8">
        <v>1.7191977077363896</v>
      </c>
      <c r="F1356" s="7">
        <v>0.58166666666666667</v>
      </c>
      <c r="G1356">
        <v>2023</v>
      </c>
    </row>
    <row r="1357" spans="1:7" x14ac:dyDescent="0.25">
      <c r="A1357" t="s">
        <v>16</v>
      </c>
      <c r="B1357" s="3">
        <v>44958</v>
      </c>
      <c r="C1357" s="9">
        <v>741.3</v>
      </c>
      <c r="D1357">
        <v>1302</v>
      </c>
      <c r="E1357" s="8">
        <v>1.756373937677054</v>
      </c>
      <c r="F1357" s="7">
        <v>0.5693548387096774</v>
      </c>
      <c r="G1357">
        <v>2023</v>
      </c>
    </row>
    <row r="1358" spans="1:7" x14ac:dyDescent="0.25">
      <c r="A1358" t="s">
        <v>16</v>
      </c>
      <c r="B1358" s="3">
        <v>44986</v>
      </c>
      <c r="C1358" s="9">
        <v>746.12</v>
      </c>
      <c r="D1358">
        <v>1302</v>
      </c>
      <c r="E1358" s="8">
        <v>1.7450276094998123</v>
      </c>
      <c r="F1358" s="7">
        <v>0.57305683563748078</v>
      </c>
      <c r="G1358">
        <v>2023</v>
      </c>
    </row>
    <row r="1359" spans="1:7" x14ac:dyDescent="0.25">
      <c r="A1359" t="s">
        <v>16</v>
      </c>
      <c r="B1359" s="3">
        <v>45017</v>
      </c>
      <c r="C1359" s="9">
        <v>783.55</v>
      </c>
      <c r="D1359">
        <v>1302</v>
      </c>
      <c r="E1359" s="8">
        <v>1.6616680492629698</v>
      </c>
      <c r="F1359" s="7">
        <v>0.60180491551459292</v>
      </c>
      <c r="G1359">
        <v>2023</v>
      </c>
    </row>
    <row r="1360" spans="1:7" x14ac:dyDescent="0.25">
      <c r="A1360" t="s">
        <v>16</v>
      </c>
      <c r="B1360" s="3">
        <v>45047</v>
      </c>
      <c r="C1360" s="9">
        <v>781.56</v>
      </c>
      <c r="D1360">
        <v>1320</v>
      </c>
      <c r="E1360" s="8">
        <v>1.6889298326424076</v>
      </c>
      <c r="F1360" s="7">
        <v>0.592090909090909</v>
      </c>
      <c r="G1360">
        <v>2023</v>
      </c>
    </row>
    <row r="1361" spans="1:7" x14ac:dyDescent="0.25">
      <c r="A1361" t="s">
        <v>16</v>
      </c>
      <c r="B1361" s="3">
        <v>45078</v>
      </c>
      <c r="C1361" s="9">
        <v>773.56</v>
      </c>
      <c r="D1361">
        <v>1320</v>
      </c>
      <c r="E1361" s="8">
        <v>1.7063964010548633</v>
      </c>
      <c r="F1361" s="7">
        <v>0.58603030303030301</v>
      </c>
      <c r="G1361">
        <v>2023</v>
      </c>
    </row>
    <row r="1362" spans="1:7" x14ac:dyDescent="0.25">
      <c r="A1362" t="s">
        <v>16</v>
      </c>
      <c r="B1362" s="3">
        <v>45108</v>
      </c>
      <c r="C1362" s="9">
        <v>777.16</v>
      </c>
      <c r="D1362">
        <v>1320</v>
      </c>
      <c r="E1362" s="8">
        <v>1.6984919450306244</v>
      </c>
      <c r="F1362" s="7">
        <v>0.5887575757575757</v>
      </c>
      <c r="G1362">
        <v>2023</v>
      </c>
    </row>
    <row r="1363" spans="1:7" x14ac:dyDescent="0.25">
      <c r="A1363" t="s">
        <v>16</v>
      </c>
      <c r="B1363" s="3">
        <v>45139</v>
      </c>
      <c r="C1363" s="9">
        <v>760.59</v>
      </c>
      <c r="D1363">
        <v>1320</v>
      </c>
      <c r="E1363" s="8">
        <v>1.7354948132370922</v>
      </c>
      <c r="F1363" s="7">
        <v>0.57620454545454547</v>
      </c>
      <c r="G1363">
        <v>2023</v>
      </c>
    </row>
    <row r="1364" spans="1:7" x14ac:dyDescent="0.25">
      <c r="A1364" t="s">
        <v>16</v>
      </c>
      <c r="B1364" s="3">
        <v>45170</v>
      </c>
      <c r="C1364" s="9">
        <v>741.71</v>
      </c>
      <c r="D1364">
        <v>1320</v>
      </c>
      <c r="E1364" s="8">
        <v>1.779671300103814</v>
      </c>
      <c r="F1364" s="7">
        <v>0.56190151515151521</v>
      </c>
      <c r="G1364">
        <v>2023</v>
      </c>
    </row>
    <row r="1365" spans="1:7" x14ac:dyDescent="0.25">
      <c r="A1365" t="s">
        <v>16</v>
      </c>
      <c r="B1365" s="3">
        <v>45200</v>
      </c>
      <c r="C1365" s="9">
        <v>739.21</v>
      </c>
      <c r="D1365">
        <v>1320</v>
      </c>
      <c r="E1365" s="8">
        <v>1.7856901286508569</v>
      </c>
      <c r="F1365" s="7">
        <v>0.56000757575757576</v>
      </c>
      <c r="G1365">
        <v>2023</v>
      </c>
    </row>
    <row r="1366" spans="1:7" x14ac:dyDescent="0.25">
      <c r="A1366" t="s">
        <v>16</v>
      </c>
      <c r="B1366" s="3">
        <v>45231</v>
      </c>
      <c r="C1366" s="9">
        <v>739.18</v>
      </c>
      <c r="D1366">
        <v>1320</v>
      </c>
      <c r="E1366" s="8">
        <v>1.785762601801997</v>
      </c>
      <c r="F1366" s="7">
        <v>0.55998484848484842</v>
      </c>
      <c r="G1366">
        <v>2023</v>
      </c>
    </row>
    <row r="1367" spans="1:7" x14ac:dyDescent="0.25">
      <c r="A1367" t="s">
        <v>16</v>
      </c>
      <c r="B1367" s="3">
        <v>45261</v>
      </c>
      <c r="C1367" s="9">
        <v>766.53</v>
      </c>
      <c r="D1367">
        <v>1320</v>
      </c>
      <c r="E1367" s="8">
        <v>1.72204610387069</v>
      </c>
      <c r="F1367" s="7">
        <v>0.58070454545454542</v>
      </c>
      <c r="G1367">
        <v>2023</v>
      </c>
    </row>
    <row r="1368" spans="1:7" x14ac:dyDescent="0.25">
      <c r="A1368" t="s">
        <v>16</v>
      </c>
      <c r="B1368" s="3">
        <v>45292</v>
      </c>
      <c r="C1368" s="9">
        <v>791.16</v>
      </c>
      <c r="D1368">
        <v>1412</v>
      </c>
      <c r="E1368" s="8">
        <v>1.7847211689165277</v>
      </c>
      <c r="F1368" s="7">
        <v>0.5603116147308782</v>
      </c>
      <c r="G1368">
        <v>2024</v>
      </c>
    </row>
    <row r="1369" spans="1:7" x14ac:dyDescent="0.25">
      <c r="A1369" t="s">
        <v>16</v>
      </c>
      <c r="B1369" s="3">
        <v>45323</v>
      </c>
      <c r="C1369" s="9">
        <v>796.81</v>
      </c>
      <c r="D1369">
        <v>1412</v>
      </c>
      <c r="E1369" s="8">
        <v>1.7720661136280922</v>
      </c>
      <c r="F1369" s="7">
        <v>0.56431303116147302</v>
      </c>
      <c r="G1369">
        <v>2024</v>
      </c>
    </row>
    <row r="1370" spans="1:7" x14ac:dyDescent="0.25">
      <c r="A1370" t="s">
        <v>16</v>
      </c>
      <c r="B1370" s="3">
        <v>45352</v>
      </c>
      <c r="C1370" s="9">
        <v>777.43</v>
      </c>
      <c r="D1370">
        <v>1412</v>
      </c>
      <c r="E1370" s="8">
        <v>1.816240690480172</v>
      </c>
      <c r="F1370" s="7">
        <v>0.55058781869688378</v>
      </c>
      <c r="G1370">
        <v>2024</v>
      </c>
    </row>
    <row r="1371" spans="1:7" x14ac:dyDescent="0.25">
      <c r="A1371" t="s">
        <v>16</v>
      </c>
      <c r="B1371" s="3">
        <v>45383</v>
      </c>
      <c r="C1371" s="9">
        <v>775.63</v>
      </c>
      <c r="D1371">
        <v>1412</v>
      </c>
      <c r="E1371" s="8">
        <v>1.8204556296172143</v>
      </c>
      <c r="F1371" s="7">
        <v>0.54931303116147312</v>
      </c>
      <c r="G1371">
        <v>2024</v>
      </c>
    </row>
    <row r="1372" spans="1:7" x14ac:dyDescent="0.25">
      <c r="A1372" t="s">
        <v>16</v>
      </c>
      <c r="B1372" s="3">
        <v>45413</v>
      </c>
      <c r="C1372" s="9">
        <v>801.45</v>
      </c>
      <c r="D1372">
        <v>1412</v>
      </c>
      <c r="E1372" s="8">
        <v>1.7618067253103749</v>
      </c>
      <c r="F1372" s="7">
        <v>0.56759915014164308</v>
      </c>
      <c r="G1372">
        <v>2024</v>
      </c>
    </row>
    <row r="1373" spans="1:7" x14ac:dyDescent="0.25">
      <c r="A1373" t="s">
        <v>16</v>
      </c>
      <c r="B1373" s="3">
        <v>45444</v>
      </c>
      <c r="C1373" s="9">
        <v>804.86</v>
      </c>
      <c r="D1373">
        <v>1412</v>
      </c>
      <c r="E1373" s="8">
        <v>1.7543423701016325</v>
      </c>
      <c r="F1373" s="7">
        <v>0.57001416430594898</v>
      </c>
      <c r="G1373">
        <v>2024</v>
      </c>
    </row>
    <row r="1374" spans="1:7" x14ac:dyDescent="0.25">
      <c r="A1374" t="s">
        <v>16</v>
      </c>
      <c r="B1374" s="3">
        <v>45474</v>
      </c>
      <c r="C1374" s="9">
        <v>769.96</v>
      </c>
      <c r="D1374">
        <v>1412</v>
      </c>
      <c r="E1374" s="8">
        <v>1.8338614992986648</v>
      </c>
      <c r="F1374" s="7">
        <v>0.54529745042492916</v>
      </c>
      <c r="G1374">
        <v>2024</v>
      </c>
    </row>
    <row r="1375" spans="1:7" x14ac:dyDescent="0.25">
      <c r="A1375" t="s">
        <v>16</v>
      </c>
      <c r="B1375" s="3">
        <v>45505</v>
      </c>
      <c r="C1375" s="9">
        <v>740.82</v>
      </c>
      <c r="D1375">
        <v>1412</v>
      </c>
      <c r="E1375" s="8">
        <v>1.9059960584217488</v>
      </c>
      <c r="F1375" s="7">
        <v>0.52466005665722382</v>
      </c>
      <c r="G1375">
        <v>2024</v>
      </c>
    </row>
    <row r="1376" spans="1:7" x14ac:dyDescent="0.25">
      <c r="A1376" t="s">
        <v>16</v>
      </c>
      <c r="B1376" s="3">
        <v>45536</v>
      </c>
      <c r="C1376" s="9">
        <v>756.17</v>
      </c>
      <c r="D1376">
        <v>1412</v>
      </c>
      <c r="E1376" s="8">
        <v>1.8673049711043814</v>
      </c>
      <c r="F1376" s="7">
        <v>0.53553116147308777</v>
      </c>
      <c r="G1376">
        <v>2024</v>
      </c>
    </row>
    <row r="1377" spans="1:7" x14ac:dyDescent="0.25">
      <c r="A1377" t="s">
        <v>16</v>
      </c>
      <c r="B1377" s="3">
        <v>45566</v>
      </c>
      <c r="C1377" s="9">
        <v>774.32</v>
      </c>
      <c r="D1377">
        <v>1412</v>
      </c>
      <c r="E1377" s="8">
        <v>1.8235354892034299</v>
      </c>
      <c r="F1377" s="7">
        <v>0.54838526912181307</v>
      </c>
      <c r="G1377">
        <v>2024</v>
      </c>
    </row>
    <row r="1378" spans="1:7" x14ac:dyDescent="0.25">
      <c r="A1378" t="s">
        <v>16</v>
      </c>
      <c r="B1378" s="3">
        <v>45597</v>
      </c>
      <c r="C1378" s="9">
        <v>780.71</v>
      </c>
      <c r="D1378">
        <v>1412</v>
      </c>
      <c r="E1378" s="8">
        <v>1.8086101113089366</v>
      </c>
      <c r="F1378" s="7">
        <v>0.55291076487252122</v>
      </c>
      <c r="G1378">
        <v>2024</v>
      </c>
    </row>
    <row r="1379" spans="1:7" x14ac:dyDescent="0.25">
      <c r="A1379" t="s">
        <v>16</v>
      </c>
      <c r="B1379" s="3">
        <v>45627</v>
      </c>
      <c r="C1379" s="9">
        <v>783.72</v>
      </c>
      <c r="D1379">
        <v>1412</v>
      </c>
      <c r="E1379" s="8">
        <v>1.801663859541673</v>
      </c>
      <c r="F1379" s="7">
        <v>0.55504249291784702</v>
      </c>
      <c r="G1379">
        <v>2024</v>
      </c>
    </row>
    <row r="1380" spans="1:7" x14ac:dyDescent="0.25">
      <c r="A1380" t="s">
        <v>16</v>
      </c>
      <c r="B1380" s="3">
        <v>45658</v>
      </c>
      <c r="C1380" s="9">
        <v>770.63</v>
      </c>
      <c r="D1380">
        <v>1518</v>
      </c>
      <c r="E1380" s="8">
        <v>1.9698169030533459</v>
      </c>
      <c r="F1380" s="7">
        <v>0.50766139657444009</v>
      </c>
      <c r="G1380">
        <v>2025</v>
      </c>
    </row>
    <row r="1381" spans="1:7" x14ac:dyDescent="0.25">
      <c r="A1381" t="s">
        <v>16</v>
      </c>
      <c r="B1381" s="3">
        <v>45689</v>
      </c>
      <c r="C1381" s="9">
        <v>769.74</v>
      </c>
      <c r="D1381">
        <v>1518</v>
      </c>
      <c r="E1381" s="8">
        <v>1.9720944734585704</v>
      </c>
      <c r="F1381" s="7">
        <v>0.5070750988142293</v>
      </c>
      <c r="G1381">
        <v>2025</v>
      </c>
    </row>
    <row r="1382" spans="1:7" x14ac:dyDescent="0.25">
      <c r="A1382" t="s">
        <v>16</v>
      </c>
      <c r="B1382" s="3">
        <v>45717</v>
      </c>
      <c r="C1382" s="9">
        <v>791.64</v>
      </c>
      <c r="D1382">
        <v>1518</v>
      </c>
      <c r="E1382" s="8">
        <v>1.9175382749734728</v>
      </c>
      <c r="F1382" s="7">
        <v>0.52150197628458494</v>
      </c>
      <c r="G1382">
        <v>2025</v>
      </c>
    </row>
    <row r="1383" spans="1:7" x14ac:dyDescent="0.25">
      <c r="A1383" t="s">
        <v>16</v>
      </c>
      <c r="B1383" s="3">
        <v>45748</v>
      </c>
      <c r="C1383" s="9">
        <v>834.22</v>
      </c>
      <c r="D1383">
        <v>1518</v>
      </c>
      <c r="E1383" s="8">
        <v>1.8196638776341971</v>
      </c>
      <c r="F1383" s="7">
        <v>0.54955204216073783</v>
      </c>
      <c r="G1383">
        <v>2025</v>
      </c>
    </row>
    <row r="1384" spans="1:7" x14ac:dyDescent="0.25">
      <c r="A1384" t="s">
        <v>16</v>
      </c>
      <c r="B1384" s="3">
        <v>45778</v>
      </c>
      <c r="C1384" s="9">
        <v>819.05</v>
      </c>
      <c r="D1384">
        <v>1518</v>
      </c>
      <c r="E1384" s="8">
        <v>1.853366705329345</v>
      </c>
      <c r="F1384" s="7">
        <v>0.53955862977602109</v>
      </c>
      <c r="G1384">
        <v>2025</v>
      </c>
    </row>
    <row r="1385" spans="1:7" x14ac:dyDescent="0.25">
      <c r="A1385" t="s">
        <v>16</v>
      </c>
      <c r="B1385" s="3">
        <v>45809</v>
      </c>
      <c r="C1385" s="9">
        <v>831.37</v>
      </c>
      <c r="D1385">
        <v>1518</v>
      </c>
      <c r="E1385" s="8">
        <v>1.8259018246989909</v>
      </c>
      <c r="F1385" s="7">
        <v>0.54767457180500656</v>
      </c>
      <c r="G1385">
        <v>2025</v>
      </c>
    </row>
    <row r="1386" spans="1:7" x14ac:dyDescent="0.25">
      <c r="A1386" t="s">
        <v>17</v>
      </c>
      <c r="B1386" s="3">
        <v>42005</v>
      </c>
      <c r="C1386" s="9">
        <v>290.43</v>
      </c>
      <c r="D1386">
        <v>788</v>
      </c>
      <c r="E1386" s="8">
        <v>2.7132183314395895</v>
      </c>
      <c r="F1386" s="7">
        <v>0.36856598984771577</v>
      </c>
      <c r="G1386">
        <v>2015</v>
      </c>
    </row>
    <row r="1387" spans="1:7" x14ac:dyDescent="0.25">
      <c r="A1387" t="s">
        <v>17</v>
      </c>
      <c r="B1387" s="3">
        <v>42036</v>
      </c>
      <c r="C1387" s="9">
        <v>294.93</v>
      </c>
      <c r="D1387">
        <v>788</v>
      </c>
      <c r="E1387" s="8">
        <v>2.6718204319669074</v>
      </c>
      <c r="F1387" s="7">
        <v>0.3742766497461929</v>
      </c>
      <c r="G1387">
        <v>2015</v>
      </c>
    </row>
    <row r="1388" spans="1:7" x14ac:dyDescent="0.25">
      <c r="A1388" t="s">
        <v>17</v>
      </c>
      <c r="B1388" s="3">
        <v>42064</v>
      </c>
      <c r="C1388" s="9">
        <v>298.60000000000002</v>
      </c>
      <c r="D1388">
        <v>788</v>
      </c>
      <c r="E1388" s="8">
        <v>2.6389819156061618</v>
      </c>
      <c r="F1388" s="7">
        <v>0.37893401015228428</v>
      </c>
      <c r="G1388">
        <v>2015</v>
      </c>
    </row>
    <row r="1389" spans="1:7" x14ac:dyDescent="0.25">
      <c r="A1389" t="s">
        <v>17</v>
      </c>
      <c r="B1389" s="3">
        <v>42095</v>
      </c>
      <c r="C1389" s="9">
        <v>307.45999999999998</v>
      </c>
      <c r="D1389">
        <v>788</v>
      </c>
      <c r="E1389" s="8">
        <v>2.5629350159370325</v>
      </c>
      <c r="F1389" s="7">
        <v>0.39017766497461925</v>
      </c>
      <c r="G1389">
        <v>2015</v>
      </c>
    </row>
    <row r="1390" spans="1:7" x14ac:dyDescent="0.25">
      <c r="A1390" t="s">
        <v>17</v>
      </c>
      <c r="B1390" s="3">
        <v>42125</v>
      </c>
      <c r="C1390" s="9">
        <v>331.23</v>
      </c>
      <c r="D1390">
        <v>788</v>
      </c>
      <c r="E1390" s="8">
        <v>2.3790115629622921</v>
      </c>
      <c r="F1390" s="7">
        <v>0.42034263959390866</v>
      </c>
      <c r="G1390">
        <v>2015</v>
      </c>
    </row>
    <row r="1391" spans="1:7" x14ac:dyDescent="0.25">
      <c r="A1391" t="s">
        <v>17</v>
      </c>
      <c r="B1391" s="3">
        <v>42156</v>
      </c>
      <c r="C1391" s="9">
        <v>318.52999999999997</v>
      </c>
      <c r="D1391">
        <v>788</v>
      </c>
      <c r="E1391" s="8">
        <v>2.4738643141933259</v>
      </c>
      <c r="F1391" s="7">
        <v>0.40422588832487305</v>
      </c>
      <c r="G1391">
        <v>2015</v>
      </c>
    </row>
    <row r="1392" spans="1:7" x14ac:dyDescent="0.25">
      <c r="A1392" t="s">
        <v>17</v>
      </c>
      <c r="B1392" s="3">
        <v>42186</v>
      </c>
      <c r="C1392" s="9">
        <v>309.38</v>
      </c>
      <c r="D1392">
        <v>788</v>
      </c>
      <c r="E1392" s="8">
        <v>2.5470295429568814</v>
      </c>
      <c r="F1392" s="7">
        <v>0.39261421319796952</v>
      </c>
      <c r="G1392">
        <v>2015</v>
      </c>
    </row>
    <row r="1393" spans="1:7" x14ac:dyDescent="0.25">
      <c r="A1393" t="s">
        <v>17</v>
      </c>
      <c r="B1393" s="3">
        <v>42217</v>
      </c>
      <c r="C1393" s="9">
        <v>309.42</v>
      </c>
      <c r="D1393">
        <v>788</v>
      </c>
      <c r="E1393" s="8">
        <v>2.5467002779393701</v>
      </c>
      <c r="F1393" s="7">
        <v>0.39266497461928934</v>
      </c>
      <c r="G1393">
        <v>2015</v>
      </c>
    </row>
    <row r="1394" spans="1:7" x14ac:dyDescent="0.25">
      <c r="A1394" t="s">
        <v>17</v>
      </c>
      <c r="B1394" s="3">
        <v>42248</v>
      </c>
      <c r="C1394" s="9">
        <v>298.58</v>
      </c>
      <c r="D1394">
        <v>788</v>
      </c>
      <c r="E1394" s="8">
        <v>2.6391586844396815</v>
      </c>
      <c r="F1394" s="7">
        <v>0.37890862944162435</v>
      </c>
      <c r="G1394">
        <v>2015</v>
      </c>
    </row>
    <row r="1395" spans="1:7" x14ac:dyDescent="0.25">
      <c r="A1395" t="s">
        <v>17</v>
      </c>
      <c r="B1395" s="3">
        <v>42278</v>
      </c>
      <c r="C1395" s="9">
        <v>297.77999999999997</v>
      </c>
      <c r="D1395">
        <v>788</v>
      </c>
      <c r="E1395" s="8">
        <v>2.6462489085902345</v>
      </c>
      <c r="F1395" s="7">
        <v>0.37789340101522839</v>
      </c>
      <c r="G1395">
        <v>2015</v>
      </c>
    </row>
    <row r="1396" spans="1:7" x14ac:dyDescent="0.25">
      <c r="A1396" t="s">
        <v>17</v>
      </c>
      <c r="B1396" s="3">
        <v>42309</v>
      </c>
      <c r="C1396" s="9">
        <v>323.14999999999998</v>
      </c>
      <c r="D1396">
        <v>788</v>
      </c>
      <c r="E1396" s="8">
        <v>2.4384960544638714</v>
      </c>
      <c r="F1396" s="7">
        <v>0.4100888324873096</v>
      </c>
      <c r="G1396">
        <v>2015</v>
      </c>
    </row>
    <row r="1397" spans="1:7" x14ac:dyDescent="0.25">
      <c r="A1397" t="s">
        <v>17</v>
      </c>
      <c r="B1397" s="3">
        <v>42339</v>
      </c>
      <c r="C1397" s="9">
        <v>327.82</v>
      </c>
      <c r="D1397">
        <v>788</v>
      </c>
      <c r="E1397" s="8">
        <v>2.4037581599658351</v>
      </c>
      <c r="F1397" s="7">
        <v>0.41601522842639593</v>
      </c>
      <c r="G1397">
        <v>2015</v>
      </c>
    </row>
    <row r="1398" spans="1:7" x14ac:dyDescent="0.25">
      <c r="A1398" t="s">
        <v>17</v>
      </c>
      <c r="B1398" s="3">
        <v>42370</v>
      </c>
      <c r="C1398" s="9">
        <v>344.47</v>
      </c>
      <c r="D1398">
        <v>880</v>
      </c>
      <c r="E1398" s="8">
        <v>2.5546491711905244</v>
      </c>
      <c r="F1398" s="7">
        <v>0.39144318181818183</v>
      </c>
      <c r="G1398">
        <v>2016</v>
      </c>
    </row>
    <row r="1399" spans="1:7" x14ac:dyDescent="0.25">
      <c r="A1399" t="s">
        <v>17</v>
      </c>
      <c r="B1399" s="3">
        <v>42401</v>
      </c>
      <c r="C1399" s="9">
        <v>349.96</v>
      </c>
      <c r="D1399">
        <v>880</v>
      </c>
      <c r="E1399" s="8">
        <v>2.5145730940678934</v>
      </c>
      <c r="F1399" s="7">
        <v>0.39768181818181814</v>
      </c>
      <c r="G1399">
        <v>2016</v>
      </c>
    </row>
    <row r="1400" spans="1:7" x14ac:dyDescent="0.25">
      <c r="A1400" t="s">
        <v>17</v>
      </c>
      <c r="B1400" s="3">
        <v>42430</v>
      </c>
      <c r="C1400" s="9">
        <v>347.21</v>
      </c>
      <c r="D1400">
        <v>880</v>
      </c>
      <c r="E1400" s="8">
        <v>2.5344892140203337</v>
      </c>
      <c r="F1400" s="7">
        <v>0.39455681818181815</v>
      </c>
      <c r="G1400">
        <v>2016</v>
      </c>
    </row>
    <row r="1401" spans="1:7" x14ac:dyDescent="0.25">
      <c r="A1401" t="s">
        <v>17</v>
      </c>
      <c r="B1401" s="3">
        <v>42461</v>
      </c>
      <c r="C1401" s="9">
        <v>358.55</v>
      </c>
      <c r="D1401">
        <v>880</v>
      </c>
      <c r="E1401" s="8">
        <v>2.4543299400362573</v>
      </c>
      <c r="F1401" s="7">
        <v>0.40744318181818184</v>
      </c>
      <c r="G1401">
        <v>2016</v>
      </c>
    </row>
    <row r="1402" spans="1:7" x14ac:dyDescent="0.25">
      <c r="A1402" t="s">
        <v>17</v>
      </c>
      <c r="B1402" s="3">
        <v>42491</v>
      </c>
      <c r="C1402" s="9">
        <v>353.78</v>
      </c>
      <c r="D1402">
        <v>880</v>
      </c>
      <c r="E1402" s="8">
        <v>2.4874215614223529</v>
      </c>
      <c r="F1402" s="7">
        <v>0.40202272727272725</v>
      </c>
      <c r="G1402">
        <v>2016</v>
      </c>
    </row>
    <row r="1403" spans="1:7" x14ac:dyDescent="0.25">
      <c r="A1403" t="s">
        <v>17</v>
      </c>
      <c r="B1403" s="3">
        <v>42522</v>
      </c>
      <c r="C1403" s="9">
        <v>365.79</v>
      </c>
      <c r="D1403">
        <v>880</v>
      </c>
      <c r="E1403" s="8">
        <v>2.4057519341698788</v>
      </c>
      <c r="F1403" s="7">
        <v>0.41567045454545459</v>
      </c>
      <c r="G1403">
        <v>2016</v>
      </c>
    </row>
    <row r="1404" spans="1:7" x14ac:dyDescent="0.25">
      <c r="A1404" t="s">
        <v>17</v>
      </c>
      <c r="B1404" s="3">
        <v>42552</v>
      </c>
      <c r="C1404" s="9">
        <v>374.54</v>
      </c>
      <c r="D1404">
        <v>880</v>
      </c>
      <c r="E1404" s="8">
        <v>2.3495487798365993</v>
      </c>
      <c r="F1404" s="7">
        <v>0.42561363636363636</v>
      </c>
      <c r="G1404">
        <v>2016</v>
      </c>
    </row>
    <row r="1405" spans="1:7" x14ac:dyDescent="0.25">
      <c r="A1405" t="s">
        <v>17</v>
      </c>
      <c r="B1405" s="3">
        <v>42583</v>
      </c>
      <c r="C1405" s="9">
        <v>371.6</v>
      </c>
      <c r="D1405">
        <v>880</v>
      </c>
      <c r="E1405" s="8">
        <v>2.3681377825618943</v>
      </c>
      <c r="F1405" s="7">
        <v>0.4222727272727273</v>
      </c>
      <c r="G1405">
        <v>2016</v>
      </c>
    </row>
    <row r="1406" spans="1:7" x14ac:dyDescent="0.25">
      <c r="A1406" t="s">
        <v>17</v>
      </c>
      <c r="B1406" s="3">
        <v>42614</v>
      </c>
      <c r="C1406" s="9">
        <v>375.55</v>
      </c>
      <c r="D1406">
        <v>880</v>
      </c>
      <c r="E1406" s="8">
        <v>2.3432299294368257</v>
      </c>
      <c r="F1406" s="7">
        <v>0.42676136363636363</v>
      </c>
      <c r="G1406">
        <v>2016</v>
      </c>
    </row>
    <row r="1407" spans="1:7" x14ac:dyDescent="0.25">
      <c r="A1407" t="s">
        <v>17</v>
      </c>
      <c r="B1407" s="3">
        <v>42644</v>
      </c>
      <c r="C1407" s="9">
        <v>373.66</v>
      </c>
      <c r="D1407">
        <v>880</v>
      </c>
      <c r="E1407" s="8">
        <v>2.3550821602526359</v>
      </c>
      <c r="F1407" s="7">
        <v>0.42461363636363642</v>
      </c>
      <c r="G1407">
        <v>2016</v>
      </c>
    </row>
    <row r="1408" spans="1:7" x14ac:dyDescent="0.25">
      <c r="A1408" t="s">
        <v>17</v>
      </c>
      <c r="B1408" s="3">
        <v>42675</v>
      </c>
      <c r="C1408" s="9">
        <v>353.08</v>
      </c>
      <c r="D1408">
        <v>880</v>
      </c>
      <c r="E1408" s="8">
        <v>2.4923530078169254</v>
      </c>
      <c r="F1408" s="7">
        <v>0.40122727272727271</v>
      </c>
      <c r="G1408">
        <v>2016</v>
      </c>
    </row>
    <row r="1409" spans="1:7" x14ac:dyDescent="0.25">
      <c r="A1409" t="s">
        <v>17</v>
      </c>
      <c r="B1409" s="3">
        <v>42705</v>
      </c>
      <c r="C1409" s="9">
        <v>347.96</v>
      </c>
      <c r="D1409">
        <v>880</v>
      </c>
      <c r="E1409" s="8">
        <v>2.529026324864927</v>
      </c>
      <c r="F1409" s="7">
        <v>0.39540909090909088</v>
      </c>
      <c r="G1409">
        <v>2016</v>
      </c>
    </row>
    <row r="1410" spans="1:7" x14ac:dyDescent="0.25">
      <c r="A1410" t="s">
        <v>17</v>
      </c>
      <c r="B1410" s="3">
        <v>42736</v>
      </c>
      <c r="C1410" s="9">
        <v>346.44</v>
      </c>
      <c r="D1410">
        <v>937</v>
      </c>
      <c r="E1410" s="8">
        <v>2.70465304237386</v>
      </c>
      <c r="F1410" s="7">
        <v>0.36973319103521879</v>
      </c>
      <c r="G1410">
        <v>2017</v>
      </c>
    </row>
    <row r="1411" spans="1:7" x14ac:dyDescent="0.25">
      <c r="A1411" t="s">
        <v>17</v>
      </c>
      <c r="B1411" s="3">
        <v>42767</v>
      </c>
      <c r="C1411" s="9">
        <v>344.06</v>
      </c>
      <c r="D1411">
        <v>937</v>
      </c>
      <c r="E1411" s="8">
        <v>2.7233622042666976</v>
      </c>
      <c r="F1411" s="7">
        <v>0.36719316969050159</v>
      </c>
      <c r="G1411">
        <v>2017</v>
      </c>
    </row>
    <row r="1412" spans="1:7" x14ac:dyDescent="0.25">
      <c r="A1412" t="s">
        <v>17</v>
      </c>
      <c r="B1412" s="3">
        <v>42795</v>
      </c>
      <c r="C1412" s="9">
        <v>356.21</v>
      </c>
      <c r="D1412">
        <v>937</v>
      </c>
      <c r="E1412" s="8">
        <v>2.6304707897027035</v>
      </c>
      <c r="F1412" s="7">
        <v>0.3801600853788687</v>
      </c>
      <c r="G1412">
        <v>2017</v>
      </c>
    </row>
    <row r="1413" spans="1:7" x14ac:dyDescent="0.25">
      <c r="A1413" t="s">
        <v>17</v>
      </c>
      <c r="B1413" s="3">
        <v>42826</v>
      </c>
      <c r="C1413" s="9">
        <v>368.74</v>
      </c>
      <c r="D1413">
        <v>937</v>
      </c>
      <c r="E1413" s="8">
        <v>2.5410858599555239</v>
      </c>
      <c r="F1413" s="7">
        <v>0.3935325506937033</v>
      </c>
      <c r="G1413">
        <v>2017</v>
      </c>
    </row>
    <row r="1414" spans="1:7" x14ac:dyDescent="0.25">
      <c r="A1414" t="s">
        <v>17</v>
      </c>
      <c r="B1414" s="3">
        <v>42856</v>
      </c>
      <c r="C1414" s="9">
        <v>379.39</v>
      </c>
      <c r="D1414">
        <v>937</v>
      </c>
      <c r="E1414" s="8">
        <v>2.4697540789161549</v>
      </c>
      <c r="F1414" s="7">
        <v>0.40489861259338311</v>
      </c>
      <c r="G1414">
        <v>2017</v>
      </c>
    </row>
    <row r="1415" spans="1:7" x14ac:dyDescent="0.25">
      <c r="A1415" t="s">
        <v>17</v>
      </c>
      <c r="B1415" s="3">
        <v>42887</v>
      </c>
      <c r="C1415" s="9">
        <v>373.84</v>
      </c>
      <c r="D1415">
        <v>937</v>
      </c>
      <c r="E1415" s="8">
        <v>2.5064198587631075</v>
      </c>
      <c r="F1415" s="7">
        <v>0.39897545357524011</v>
      </c>
      <c r="G1415">
        <v>2017</v>
      </c>
    </row>
    <row r="1416" spans="1:7" x14ac:dyDescent="0.25">
      <c r="A1416" t="s">
        <v>17</v>
      </c>
      <c r="B1416" s="3">
        <v>42917</v>
      </c>
      <c r="C1416" s="9">
        <v>361.65</v>
      </c>
      <c r="D1416">
        <v>937</v>
      </c>
      <c r="E1416" s="8">
        <v>2.5909028065809485</v>
      </c>
      <c r="F1416" s="7">
        <v>0.38596584845250798</v>
      </c>
      <c r="G1416">
        <v>2017</v>
      </c>
    </row>
    <row r="1417" spans="1:7" x14ac:dyDescent="0.25">
      <c r="A1417" t="s">
        <v>17</v>
      </c>
      <c r="B1417" s="3">
        <v>42948</v>
      </c>
      <c r="C1417" s="9">
        <v>340.54</v>
      </c>
      <c r="D1417">
        <v>937</v>
      </c>
      <c r="E1417" s="8">
        <v>2.7515123039877838</v>
      </c>
      <c r="F1417" s="7">
        <v>0.36343649946638207</v>
      </c>
      <c r="G1417">
        <v>2017</v>
      </c>
    </row>
    <row r="1418" spans="1:7" x14ac:dyDescent="0.25">
      <c r="A1418" t="s">
        <v>17</v>
      </c>
      <c r="B1418" s="3">
        <v>42979</v>
      </c>
      <c r="C1418" s="9">
        <v>328.63</v>
      </c>
      <c r="D1418">
        <v>937</v>
      </c>
      <c r="E1418" s="8">
        <v>2.8512308675410036</v>
      </c>
      <c r="F1418" s="7">
        <v>0.35072572038420491</v>
      </c>
      <c r="G1418">
        <v>2017</v>
      </c>
    </row>
    <row r="1419" spans="1:7" x14ac:dyDescent="0.25">
      <c r="A1419" t="s">
        <v>17</v>
      </c>
      <c r="B1419" s="3">
        <v>43009</v>
      </c>
      <c r="C1419" s="9">
        <v>325.95999999999998</v>
      </c>
      <c r="D1419">
        <v>937</v>
      </c>
      <c r="E1419" s="8">
        <v>2.8745858387532213</v>
      </c>
      <c r="F1419" s="7">
        <v>0.34787620064034147</v>
      </c>
      <c r="G1419">
        <v>2017</v>
      </c>
    </row>
    <row r="1420" spans="1:7" x14ac:dyDescent="0.25">
      <c r="A1420" t="s">
        <v>17</v>
      </c>
      <c r="B1420" s="3">
        <v>43040</v>
      </c>
      <c r="C1420" s="9">
        <v>327.85</v>
      </c>
      <c r="D1420">
        <v>937</v>
      </c>
      <c r="E1420" s="8">
        <v>2.8580143358243095</v>
      </c>
      <c r="F1420" s="7">
        <v>0.34989327641408752</v>
      </c>
      <c r="G1420">
        <v>2017</v>
      </c>
    </row>
    <row r="1421" spans="1:7" x14ac:dyDescent="0.25">
      <c r="A1421" t="s">
        <v>17</v>
      </c>
      <c r="B1421" s="3">
        <v>43070</v>
      </c>
      <c r="C1421" s="9">
        <v>332.15</v>
      </c>
      <c r="D1421">
        <v>937</v>
      </c>
      <c r="E1421" s="8">
        <v>2.8210146018365196</v>
      </c>
      <c r="F1421" s="7">
        <v>0.35448239060832443</v>
      </c>
      <c r="G1421">
        <v>2017</v>
      </c>
    </row>
    <row r="1422" spans="1:7" x14ac:dyDescent="0.25">
      <c r="A1422" t="s">
        <v>17</v>
      </c>
      <c r="B1422" s="3">
        <v>43101</v>
      </c>
      <c r="C1422" s="9">
        <v>356.47</v>
      </c>
      <c r="D1422">
        <v>954</v>
      </c>
      <c r="E1422" s="8">
        <v>2.6762420400033662</v>
      </c>
      <c r="F1422" s="7">
        <v>0.37365828092243192</v>
      </c>
      <c r="G1422">
        <v>2018</v>
      </c>
    </row>
    <row r="1423" spans="1:7" x14ac:dyDescent="0.25">
      <c r="A1423" t="s">
        <v>17</v>
      </c>
      <c r="B1423" s="3">
        <v>43132</v>
      </c>
      <c r="C1423" s="9">
        <v>356.06</v>
      </c>
      <c r="D1423">
        <v>954</v>
      </c>
      <c r="E1423" s="8">
        <v>2.6793237094871651</v>
      </c>
      <c r="F1423" s="7">
        <v>0.37322851153039832</v>
      </c>
      <c r="G1423">
        <v>2018</v>
      </c>
    </row>
    <row r="1424" spans="1:7" x14ac:dyDescent="0.25">
      <c r="A1424" t="s">
        <v>17</v>
      </c>
      <c r="B1424" s="3">
        <v>43160</v>
      </c>
      <c r="C1424" s="9">
        <v>342.46</v>
      </c>
      <c r="D1424">
        <v>954</v>
      </c>
      <c r="E1424" s="8">
        <v>2.7857268002102438</v>
      </c>
      <c r="F1424" s="7">
        <v>0.35897274633123688</v>
      </c>
      <c r="G1424">
        <v>2018</v>
      </c>
    </row>
    <row r="1425" spans="1:7" x14ac:dyDescent="0.25">
      <c r="A1425" t="s">
        <v>17</v>
      </c>
      <c r="B1425" s="3">
        <v>43191</v>
      </c>
      <c r="C1425" s="9">
        <v>333.11</v>
      </c>
      <c r="D1425">
        <v>954</v>
      </c>
      <c r="E1425" s="8">
        <v>2.8639188256131609</v>
      </c>
      <c r="F1425" s="7">
        <v>0.34917190775681345</v>
      </c>
      <c r="G1425">
        <v>2018</v>
      </c>
    </row>
    <row r="1426" spans="1:7" x14ac:dyDescent="0.25">
      <c r="A1426" t="s">
        <v>17</v>
      </c>
      <c r="B1426" s="3">
        <v>43221</v>
      </c>
      <c r="C1426" s="9">
        <v>336.36</v>
      </c>
      <c r="D1426">
        <v>954</v>
      </c>
      <c r="E1426" s="8">
        <v>2.8362468783446309</v>
      </c>
      <c r="F1426" s="7">
        <v>0.35257861635220128</v>
      </c>
      <c r="G1426">
        <v>2018</v>
      </c>
    </row>
    <row r="1427" spans="1:7" x14ac:dyDescent="0.25">
      <c r="A1427" t="s">
        <v>17</v>
      </c>
      <c r="B1427" s="3">
        <v>43252</v>
      </c>
      <c r="C1427" s="9">
        <v>355.93</v>
      </c>
      <c r="D1427">
        <v>954</v>
      </c>
      <c r="E1427" s="8">
        <v>2.6803023066333269</v>
      </c>
      <c r="F1427" s="7">
        <v>0.37309224318658279</v>
      </c>
      <c r="G1427">
        <v>2018</v>
      </c>
    </row>
    <row r="1428" spans="1:7" x14ac:dyDescent="0.25">
      <c r="A1428" t="s">
        <v>17</v>
      </c>
      <c r="B1428" s="3">
        <v>43282</v>
      </c>
      <c r="C1428" s="9">
        <v>347.43</v>
      </c>
      <c r="D1428">
        <v>954</v>
      </c>
      <c r="E1428" s="8">
        <v>2.7458768672826182</v>
      </c>
      <c r="F1428" s="7">
        <v>0.36418238993710694</v>
      </c>
      <c r="G1428">
        <v>2018</v>
      </c>
    </row>
    <row r="1429" spans="1:7" x14ac:dyDescent="0.25">
      <c r="A1429" t="s">
        <v>17</v>
      </c>
      <c r="B1429" s="3">
        <v>43313</v>
      </c>
      <c r="C1429" s="9">
        <v>340.14</v>
      </c>
      <c r="D1429">
        <v>954</v>
      </c>
      <c r="E1429" s="8">
        <v>2.8047274651614043</v>
      </c>
      <c r="F1429" s="7">
        <v>0.35654088050314464</v>
      </c>
      <c r="G1429">
        <v>2018</v>
      </c>
    </row>
    <row r="1430" spans="1:7" x14ac:dyDescent="0.25">
      <c r="A1430" t="s">
        <v>17</v>
      </c>
      <c r="B1430" s="3">
        <v>43344</v>
      </c>
      <c r="C1430" s="9">
        <v>332.75</v>
      </c>
      <c r="D1430">
        <v>954</v>
      </c>
      <c r="E1430" s="8">
        <v>2.8670172802404208</v>
      </c>
      <c r="F1430" s="7">
        <v>0.34879454926624737</v>
      </c>
      <c r="G1430">
        <v>2018</v>
      </c>
    </row>
    <row r="1431" spans="1:7" x14ac:dyDescent="0.25">
      <c r="A1431" t="s">
        <v>17</v>
      </c>
      <c r="B1431" s="3">
        <v>43374</v>
      </c>
      <c r="C1431" s="9">
        <v>330.2</v>
      </c>
      <c r="D1431">
        <v>954</v>
      </c>
      <c r="E1431" s="8">
        <v>2.88915808600848</v>
      </c>
      <c r="F1431" s="7">
        <v>0.34612159329140463</v>
      </c>
      <c r="G1431">
        <v>2018</v>
      </c>
    </row>
    <row r="1432" spans="1:7" x14ac:dyDescent="0.25">
      <c r="A1432" t="s">
        <v>17</v>
      </c>
      <c r="B1432" s="3">
        <v>43405</v>
      </c>
      <c r="C1432" s="9">
        <v>333.5</v>
      </c>
      <c r="D1432">
        <v>954</v>
      </c>
      <c r="E1432" s="8">
        <v>2.8605697151424287</v>
      </c>
      <c r="F1432" s="7">
        <v>0.34958071278825997</v>
      </c>
      <c r="G1432">
        <v>2018</v>
      </c>
    </row>
    <row r="1433" spans="1:7" x14ac:dyDescent="0.25">
      <c r="A1433" t="s">
        <v>17</v>
      </c>
      <c r="B1433" s="3">
        <v>43435</v>
      </c>
      <c r="C1433" s="9">
        <v>340.57</v>
      </c>
      <c r="D1433">
        <v>954</v>
      </c>
      <c r="E1433" s="8">
        <v>2.8011862465866049</v>
      </c>
      <c r="F1433" s="7">
        <v>0.3569916142557652</v>
      </c>
      <c r="G1433">
        <v>2018</v>
      </c>
    </row>
    <row r="1434" spans="1:7" x14ac:dyDescent="0.25">
      <c r="A1434" t="s">
        <v>17</v>
      </c>
      <c r="B1434" s="3">
        <v>43466</v>
      </c>
      <c r="C1434" s="9">
        <v>348.85</v>
      </c>
      <c r="D1434">
        <v>998</v>
      </c>
      <c r="E1434" s="8">
        <v>2.8608284362906691</v>
      </c>
      <c r="F1434" s="7">
        <v>0.34954909819639279</v>
      </c>
      <c r="G1434">
        <v>2019</v>
      </c>
    </row>
    <row r="1435" spans="1:7" x14ac:dyDescent="0.25">
      <c r="A1435" t="s">
        <v>17</v>
      </c>
      <c r="B1435" s="3">
        <v>43497</v>
      </c>
      <c r="C1435" s="9">
        <v>376.34</v>
      </c>
      <c r="D1435">
        <v>998</v>
      </c>
      <c r="E1435" s="8">
        <v>2.6518573630227986</v>
      </c>
      <c r="F1435" s="7">
        <v>0.37709418837675346</v>
      </c>
      <c r="G1435">
        <v>2019</v>
      </c>
    </row>
    <row r="1436" spans="1:7" x14ac:dyDescent="0.25">
      <c r="A1436" t="s">
        <v>17</v>
      </c>
      <c r="B1436" s="3">
        <v>43525</v>
      </c>
      <c r="C1436" s="9">
        <v>401.35</v>
      </c>
      <c r="D1436">
        <v>998</v>
      </c>
      <c r="E1436" s="8">
        <v>2.4866076990158215</v>
      </c>
      <c r="F1436" s="7">
        <v>0.4021543086172345</v>
      </c>
      <c r="G1436">
        <v>2019</v>
      </c>
    </row>
    <row r="1437" spans="1:7" x14ac:dyDescent="0.25">
      <c r="A1437" t="s">
        <v>17</v>
      </c>
      <c r="B1437" s="3">
        <v>43556</v>
      </c>
      <c r="C1437" s="9">
        <v>417.03</v>
      </c>
      <c r="D1437">
        <v>998</v>
      </c>
      <c r="E1437" s="8">
        <v>2.3931132052849917</v>
      </c>
      <c r="F1437" s="7">
        <v>0.41786573146292583</v>
      </c>
      <c r="G1437">
        <v>2019</v>
      </c>
    </row>
    <row r="1438" spans="1:7" x14ac:dyDescent="0.25">
      <c r="A1438" t="s">
        <v>17</v>
      </c>
      <c r="B1438" s="3">
        <v>43586</v>
      </c>
      <c r="C1438" s="9">
        <v>417.85</v>
      </c>
      <c r="D1438">
        <v>998</v>
      </c>
      <c r="E1438" s="8">
        <v>2.3884168960153165</v>
      </c>
      <c r="F1438" s="7">
        <v>0.41868737474949902</v>
      </c>
      <c r="G1438">
        <v>2019</v>
      </c>
    </row>
    <row r="1439" spans="1:7" x14ac:dyDescent="0.25">
      <c r="A1439" t="s">
        <v>17</v>
      </c>
      <c r="B1439" s="3">
        <v>43617</v>
      </c>
      <c r="C1439" s="9">
        <v>396.21</v>
      </c>
      <c r="D1439">
        <v>998</v>
      </c>
      <c r="E1439" s="8">
        <v>2.5188662577925847</v>
      </c>
      <c r="F1439" s="7">
        <v>0.39700400801603203</v>
      </c>
      <c r="G1439">
        <v>2019</v>
      </c>
    </row>
    <row r="1440" spans="1:7" x14ac:dyDescent="0.25">
      <c r="A1440" t="s">
        <v>17</v>
      </c>
      <c r="B1440" s="3">
        <v>43647</v>
      </c>
      <c r="C1440" s="9">
        <v>381.1</v>
      </c>
      <c r="D1440">
        <v>998</v>
      </c>
      <c r="E1440" s="8">
        <v>2.6187352400944635</v>
      </c>
      <c r="F1440" s="7">
        <v>0.38186372745490982</v>
      </c>
      <c r="G1440">
        <v>2019</v>
      </c>
    </row>
    <row r="1441" spans="1:7" x14ac:dyDescent="0.25">
      <c r="A1441" t="s">
        <v>17</v>
      </c>
      <c r="B1441" s="3">
        <v>43678</v>
      </c>
      <c r="C1441" s="9">
        <v>361.64</v>
      </c>
      <c r="D1441">
        <v>998</v>
      </c>
      <c r="E1441" s="8">
        <v>2.7596504811414668</v>
      </c>
      <c r="F1441" s="7">
        <v>0.36236472945891784</v>
      </c>
      <c r="G1441">
        <v>2019</v>
      </c>
    </row>
    <row r="1442" spans="1:7" x14ac:dyDescent="0.25">
      <c r="A1442" t="s">
        <v>17</v>
      </c>
      <c r="B1442" s="3">
        <v>43709</v>
      </c>
      <c r="C1442" s="9">
        <v>367.16</v>
      </c>
      <c r="D1442">
        <v>998</v>
      </c>
      <c r="E1442" s="8">
        <v>2.7181610197189237</v>
      </c>
      <c r="F1442" s="7">
        <v>0.36789579158316638</v>
      </c>
      <c r="G1442">
        <v>2019</v>
      </c>
    </row>
    <row r="1443" spans="1:7" x14ac:dyDescent="0.25">
      <c r="A1443" t="s">
        <v>17</v>
      </c>
      <c r="B1443" s="3">
        <v>43739</v>
      </c>
      <c r="C1443" s="9">
        <v>359.55</v>
      </c>
      <c r="D1443">
        <v>998</v>
      </c>
      <c r="E1443" s="8">
        <v>2.7756918370184951</v>
      </c>
      <c r="F1443" s="7">
        <v>0.36027054108216433</v>
      </c>
      <c r="G1443">
        <v>2019</v>
      </c>
    </row>
    <row r="1444" spans="1:7" x14ac:dyDescent="0.25">
      <c r="A1444" t="s">
        <v>17</v>
      </c>
      <c r="B1444" s="3">
        <v>43770</v>
      </c>
      <c r="C1444" s="9">
        <v>354.64</v>
      </c>
      <c r="D1444">
        <v>998</v>
      </c>
      <c r="E1444" s="8">
        <v>2.8141213625084593</v>
      </c>
      <c r="F1444" s="7">
        <v>0.35535070140280561</v>
      </c>
      <c r="G1444">
        <v>2019</v>
      </c>
    </row>
    <row r="1445" spans="1:7" x14ac:dyDescent="0.25">
      <c r="A1445" t="s">
        <v>17</v>
      </c>
      <c r="B1445" s="3">
        <v>43800</v>
      </c>
      <c r="C1445" s="9">
        <v>393.8</v>
      </c>
      <c r="D1445">
        <v>998</v>
      </c>
      <c r="E1445" s="8">
        <v>2.5342813610970034</v>
      </c>
      <c r="F1445" s="7">
        <v>0.39458917835671342</v>
      </c>
      <c r="G1445">
        <v>2019</v>
      </c>
    </row>
    <row r="1446" spans="1:7" x14ac:dyDescent="0.25">
      <c r="A1446" t="s">
        <v>17</v>
      </c>
      <c r="B1446" s="3">
        <v>43831</v>
      </c>
      <c r="C1446" s="9">
        <v>395.93</v>
      </c>
      <c r="D1446">
        <v>1039</v>
      </c>
      <c r="E1446" s="8">
        <v>2.6242012476952996</v>
      </c>
      <c r="F1446" s="7">
        <v>0.38106833493743986</v>
      </c>
      <c r="G1446">
        <v>2020</v>
      </c>
    </row>
    <row r="1447" spans="1:7" x14ac:dyDescent="0.25">
      <c r="A1447" t="s">
        <v>17</v>
      </c>
      <c r="B1447" s="3">
        <v>43862</v>
      </c>
      <c r="C1447" s="9">
        <v>420.27</v>
      </c>
      <c r="D1447">
        <v>1045</v>
      </c>
      <c r="E1447" s="8">
        <v>2.4864967758821712</v>
      </c>
      <c r="F1447" s="7">
        <v>0.40217224880382774</v>
      </c>
      <c r="G1447">
        <v>2020</v>
      </c>
    </row>
    <row r="1448" spans="1:7" x14ac:dyDescent="0.25">
      <c r="A1448" t="s">
        <v>17</v>
      </c>
      <c r="B1448" s="3">
        <v>43891</v>
      </c>
      <c r="C1448" s="9">
        <v>433.28</v>
      </c>
      <c r="D1448">
        <v>1045</v>
      </c>
      <c r="E1448" s="8">
        <v>2.4118353028064994</v>
      </c>
      <c r="F1448" s="7">
        <v>0.41462200956937795</v>
      </c>
      <c r="G1448">
        <v>2020</v>
      </c>
    </row>
    <row r="1449" spans="1:7" x14ac:dyDescent="0.25">
      <c r="A1449" t="s">
        <v>17</v>
      </c>
      <c r="B1449" s="3">
        <v>43922</v>
      </c>
      <c r="C1449" s="9">
        <v>461.26</v>
      </c>
      <c r="D1449">
        <v>1045</v>
      </c>
      <c r="E1449" s="8">
        <v>2.2655335385682696</v>
      </c>
      <c r="F1449" s="7">
        <v>0.44139712918660284</v>
      </c>
      <c r="G1449">
        <v>2020</v>
      </c>
    </row>
    <row r="1450" spans="1:7" x14ac:dyDescent="0.25">
      <c r="A1450" t="s">
        <v>17</v>
      </c>
      <c r="B1450" s="3">
        <v>43952</v>
      </c>
      <c r="C1450" s="9">
        <v>451.45</v>
      </c>
      <c r="D1450">
        <v>1045</v>
      </c>
      <c r="E1450" s="8">
        <v>2.3147635397053938</v>
      </c>
      <c r="F1450" s="7">
        <v>0.4320095693779904</v>
      </c>
      <c r="G1450">
        <v>2020</v>
      </c>
    </row>
    <row r="1451" spans="1:7" x14ac:dyDescent="0.25">
      <c r="A1451" t="s">
        <v>17</v>
      </c>
      <c r="B1451" s="3">
        <v>43983</v>
      </c>
      <c r="C1451" s="9">
        <v>435.3</v>
      </c>
      <c r="D1451">
        <v>1045</v>
      </c>
      <c r="E1451" s="8">
        <v>2.4006432345508846</v>
      </c>
      <c r="F1451" s="7">
        <v>0.41655502392344501</v>
      </c>
      <c r="G1451">
        <v>2020</v>
      </c>
    </row>
    <row r="1452" spans="1:7" x14ac:dyDescent="0.25">
      <c r="A1452" t="s">
        <v>17</v>
      </c>
      <c r="B1452" s="3">
        <v>44013</v>
      </c>
      <c r="C1452" s="9">
        <v>436.1</v>
      </c>
      <c r="D1452">
        <v>1045</v>
      </c>
      <c r="E1452" s="8">
        <v>2.3962393946342582</v>
      </c>
      <c r="F1452" s="7">
        <v>0.41732057416267943</v>
      </c>
      <c r="G1452">
        <v>2020</v>
      </c>
    </row>
    <row r="1453" spans="1:7" x14ac:dyDescent="0.25">
      <c r="A1453" t="s">
        <v>17</v>
      </c>
      <c r="B1453" s="3">
        <v>44044</v>
      </c>
      <c r="C1453" s="9">
        <v>439.19</v>
      </c>
      <c r="D1453">
        <v>1045</v>
      </c>
      <c r="E1453" s="8">
        <v>2.3793802226826659</v>
      </c>
      <c r="F1453" s="7">
        <v>0.42027751196172247</v>
      </c>
      <c r="G1453">
        <v>2020</v>
      </c>
    </row>
    <row r="1454" spans="1:7" x14ac:dyDescent="0.25">
      <c r="A1454" t="s">
        <v>17</v>
      </c>
      <c r="B1454" s="3">
        <v>44075</v>
      </c>
      <c r="C1454" s="9">
        <v>464.31</v>
      </c>
      <c r="D1454">
        <v>1045</v>
      </c>
      <c r="E1454" s="8">
        <v>2.2506515043828474</v>
      </c>
      <c r="F1454" s="7">
        <v>0.44431578947368422</v>
      </c>
      <c r="G1454">
        <v>2020</v>
      </c>
    </row>
    <row r="1455" spans="1:7" x14ac:dyDescent="0.25">
      <c r="A1455" t="s">
        <v>17</v>
      </c>
      <c r="B1455" s="3">
        <v>44105</v>
      </c>
      <c r="C1455" s="9">
        <v>469.05</v>
      </c>
      <c r="D1455">
        <v>1045</v>
      </c>
      <c r="E1455" s="8">
        <v>2.2279074725509007</v>
      </c>
      <c r="F1455" s="7">
        <v>0.44885167464114833</v>
      </c>
      <c r="G1455">
        <v>2020</v>
      </c>
    </row>
    <row r="1456" spans="1:7" x14ac:dyDescent="0.25">
      <c r="A1456" t="s">
        <v>17</v>
      </c>
      <c r="B1456" s="3">
        <v>44136</v>
      </c>
      <c r="C1456" s="9">
        <v>462.98</v>
      </c>
      <c r="D1456">
        <v>1045</v>
      </c>
      <c r="E1456" s="8">
        <v>2.257116938096678</v>
      </c>
      <c r="F1456" s="7">
        <v>0.44304306220095696</v>
      </c>
      <c r="G1456">
        <v>2020</v>
      </c>
    </row>
    <row r="1457" spans="1:7" x14ac:dyDescent="0.25">
      <c r="A1457" t="s">
        <v>17</v>
      </c>
      <c r="B1457" s="3">
        <v>44166</v>
      </c>
      <c r="C1457" s="9">
        <v>469.39</v>
      </c>
      <c r="D1457">
        <v>1045</v>
      </c>
      <c r="E1457" s="8">
        <v>2.2262937003344767</v>
      </c>
      <c r="F1457" s="7">
        <v>0.44917703349282295</v>
      </c>
      <c r="G1457">
        <v>2020</v>
      </c>
    </row>
    <row r="1458" spans="1:7" x14ac:dyDescent="0.25">
      <c r="A1458" t="s">
        <v>17</v>
      </c>
      <c r="B1458" s="3">
        <v>44197</v>
      </c>
      <c r="C1458" s="9">
        <v>474.22</v>
      </c>
      <c r="D1458">
        <v>1100</v>
      </c>
      <c r="E1458" s="8">
        <v>2.3195984985871534</v>
      </c>
      <c r="F1458" s="7">
        <v>0.43110909090909094</v>
      </c>
      <c r="G1458">
        <v>2021</v>
      </c>
    </row>
    <row r="1459" spans="1:7" x14ac:dyDescent="0.25">
      <c r="A1459" t="s">
        <v>17</v>
      </c>
      <c r="B1459" s="3">
        <v>44228</v>
      </c>
      <c r="C1459" s="9">
        <v>469.71</v>
      </c>
      <c r="D1459">
        <v>1100</v>
      </c>
      <c r="E1459" s="8">
        <v>2.3418705158502053</v>
      </c>
      <c r="F1459" s="7">
        <v>0.42700909090909089</v>
      </c>
      <c r="G1459">
        <v>2021</v>
      </c>
    </row>
    <row r="1460" spans="1:7" x14ac:dyDescent="0.25">
      <c r="A1460" t="s">
        <v>17</v>
      </c>
      <c r="B1460" s="3">
        <v>44256</v>
      </c>
      <c r="C1460" s="9">
        <v>461.33</v>
      </c>
      <c r="D1460">
        <v>1100</v>
      </c>
      <c r="E1460" s="8">
        <v>2.3844102919818786</v>
      </c>
      <c r="F1460" s="7">
        <v>0.41939090909090909</v>
      </c>
      <c r="G1460">
        <v>2021</v>
      </c>
    </row>
    <row r="1461" spans="1:7" x14ac:dyDescent="0.25">
      <c r="A1461" t="s">
        <v>17</v>
      </c>
      <c r="B1461" s="3">
        <v>44287</v>
      </c>
      <c r="C1461" s="9">
        <v>471.52</v>
      </c>
      <c r="D1461">
        <v>1100</v>
      </c>
      <c r="E1461" s="8">
        <v>2.3328808958262641</v>
      </c>
      <c r="F1461" s="7">
        <v>0.42865454545454545</v>
      </c>
      <c r="G1461">
        <v>2021</v>
      </c>
    </row>
    <row r="1462" spans="1:7" x14ac:dyDescent="0.25">
      <c r="A1462" t="s">
        <v>17</v>
      </c>
      <c r="B1462" s="3">
        <v>44317</v>
      </c>
      <c r="C1462" s="9">
        <v>480.8</v>
      </c>
      <c r="D1462">
        <v>1100</v>
      </c>
      <c r="E1462" s="8">
        <v>2.287853577371048</v>
      </c>
      <c r="F1462" s="7">
        <v>0.43709090909090909</v>
      </c>
      <c r="G1462">
        <v>2021</v>
      </c>
    </row>
    <row r="1463" spans="1:7" x14ac:dyDescent="0.25">
      <c r="A1463" t="s">
        <v>17</v>
      </c>
      <c r="B1463" s="3">
        <v>44348</v>
      </c>
      <c r="C1463" s="9">
        <v>483.92</v>
      </c>
      <c r="D1463">
        <v>1100</v>
      </c>
      <c r="E1463" s="8">
        <v>2.2731029922301205</v>
      </c>
      <c r="F1463" s="7">
        <v>0.43992727272727272</v>
      </c>
      <c r="G1463">
        <v>2021</v>
      </c>
    </row>
    <row r="1464" spans="1:7" x14ac:dyDescent="0.25">
      <c r="A1464" t="s">
        <v>17</v>
      </c>
      <c r="B1464" s="3">
        <v>44378</v>
      </c>
      <c r="C1464" s="9">
        <v>487.6</v>
      </c>
      <c r="D1464">
        <v>1100</v>
      </c>
      <c r="E1464" s="8">
        <v>2.2559474979491387</v>
      </c>
      <c r="F1464" s="7">
        <v>0.44327272727272732</v>
      </c>
      <c r="G1464">
        <v>2021</v>
      </c>
    </row>
    <row r="1465" spans="1:7" x14ac:dyDescent="0.25">
      <c r="A1465" t="s">
        <v>17</v>
      </c>
      <c r="B1465" s="3">
        <v>44409</v>
      </c>
      <c r="C1465" s="9">
        <v>491.46</v>
      </c>
      <c r="D1465">
        <v>1100</v>
      </c>
      <c r="E1465" s="8">
        <v>2.2382289504740975</v>
      </c>
      <c r="F1465" s="7">
        <v>0.44678181818181817</v>
      </c>
      <c r="G1465">
        <v>2021</v>
      </c>
    </row>
    <row r="1466" spans="1:7" x14ac:dyDescent="0.25">
      <c r="A1466" t="s">
        <v>17</v>
      </c>
      <c r="B1466" s="3">
        <v>44440</v>
      </c>
      <c r="C1466" s="9">
        <v>489.4</v>
      </c>
      <c r="D1466">
        <v>1100</v>
      </c>
      <c r="E1466" s="8">
        <v>2.2476501838986516</v>
      </c>
      <c r="F1466" s="7">
        <v>0.44490909090909087</v>
      </c>
      <c r="G1466">
        <v>2021</v>
      </c>
    </row>
    <row r="1467" spans="1:7" x14ac:dyDescent="0.25">
      <c r="A1467" t="s">
        <v>17</v>
      </c>
      <c r="B1467" s="3">
        <v>44470</v>
      </c>
      <c r="C1467" s="9">
        <v>485.26</v>
      </c>
      <c r="D1467">
        <v>1100</v>
      </c>
      <c r="E1467" s="8">
        <v>2.2668260314058442</v>
      </c>
      <c r="F1467" s="7">
        <v>0.44114545454545456</v>
      </c>
      <c r="G1467">
        <v>2021</v>
      </c>
    </row>
    <row r="1468" spans="1:7" x14ac:dyDescent="0.25">
      <c r="A1468" t="s">
        <v>17</v>
      </c>
      <c r="B1468" s="3">
        <v>44501</v>
      </c>
      <c r="C1468" s="9">
        <v>524.73</v>
      </c>
      <c r="D1468">
        <v>1100</v>
      </c>
      <c r="E1468" s="8">
        <v>2.0963162007127476</v>
      </c>
      <c r="F1468" s="7">
        <v>0.47702727272727274</v>
      </c>
      <c r="G1468">
        <v>2021</v>
      </c>
    </row>
    <row r="1469" spans="1:7" x14ac:dyDescent="0.25">
      <c r="A1469" t="s">
        <v>17</v>
      </c>
      <c r="B1469" s="3">
        <v>44531</v>
      </c>
      <c r="C1469" s="9">
        <v>532.37</v>
      </c>
      <c r="D1469">
        <v>1100</v>
      </c>
      <c r="E1469" s="8">
        <v>2.0662321317880421</v>
      </c>
      <c r="F1469" s="7">
        <v>0.48397272727272728</v>
      </c>
      <c r="G1469">
        <v>2021</v>
      </c>
    </row>
    <row r="1470" spans="1:7" x14ac:dyDescent="0.25">
      <c r="A1470" t="s">
        <v>17</v>
      </c>
      <c r="B1470" s="3">
        <v>44562</v>
      </c>
      <c r="C1470" s="9">
        <v>543.1</v>
      </c>
      <c r="D1470">
        <v>1212</v>
      </c>
      <c r="E1470" s="8">
        <v>2.2316332167188362</v>
      </c>
      <c r="F1470" s="7">
        <v>0.44810231023102315</v>
      </c>
      <c r="G1470">
        <v>2022</v>
      </c>
    </row>
    <row r="1471" spans="1:7" x14ac:dyDescent="0.25">
      <c r="A1471" t="s">
        <v>17</v>
      </c>
      <c r="B1471" s="3">
        <v>44593</v>
      </c>
      <c r="C1471" s="9">
        <v>549.20000000000005</v>
      </c>
      <c r="D1471">
        <v>1212</v>
      </c>
      <c r="E1471" s="8">
        <v>2.2068463219227965</v>
      </c>
      <c r="F1471" s="7">
        <v>0.45313531353135317</v>
      </c>
      <c r="G1471">
        <v>2022</v>
      </c>
    </row>
    <row r="1472" spans="1:7" x14ac:dyDescent="0.25">
      <c r="A1472" t="s">
        <v>17</v>
      </c>
      <c r="B1472" s="3">
        <v>44621</v>
      </c>
      <c r="C1472" s="9">
        <v>561.57000000000005</v>
      </c>
      <c r="D1472">
        <v>1212</v>
      </c>
      <c r="E1472" s="8">
        <v>2.1582349484481007</v>
      </c>
      <c r="F1472" s="7">
        <v>0.46334158415841586</v>
      </c>
      <c r="G1472">
        <v>2022</v>
      </c>
    </row>
    <row r="1473" spans="1:7" x14ac:dyDescent="0.25">
      <c r="A1473" t="s">
        <v>17</v>
      </c>
      <c r="B1473" s="3">
        <v>44652</v>
      </c>
      <c r="C1473" s="9">
        <v>582.74</v>
      </c>
      <c r="D1473">
        <v>1212</v>
      </c>
      <c r="E1473" s="8">
        <v>2.0798297697086179</v>
      </c>
      <c r="F1473" s="7">
        <v>0.48080858085808581</v>
      </c>
      <c r="G1473">
        <v>2022</v>
      </c>
    </row>
    <row r="1474" spans="1:7" x14ac:dyDescent="0.25">
      <c r="A1474" t="s">
        <v>17</v>
      </c>
      <c r="B1474" s="3">
        <v>44682</v>
      </c>
      <c r="C1474" s="9">
        <v>595.89</v>
      </c>
      <c r="D1474">
        <v>1212</v>
      </c>
      <c r="E1474" s="8">
        <v>2.0339324371947844</v>
      </c>
      <c r="F1474" s="7">
        <v>0.49165841584158415</v>
      </c>
      <c r="G1474">
        <v>2022</v>
      </c>
    </row>
    <row r="1475" spans="1:7" x14ac:dyDescent="0.25">
      <c r="A1475" t="s">
        <v>17</v>
      </c>
      <c r="B1475" s="3">
        <v>44713</v>
      </c>
      <c r="C1475" s="9">
        <v>612.34</v>
      </c>
      <c r="D1475">
        <v>1212</v>
      </c>
      <c r="E1475" s="8">
        <v>1.9792925498905836</v>
      </c>
      <c r="F1475" s="7">
        <v>0.50523102310231027</v>
      </c>
      <c r="G1475">
        <v>2022</v>
      </c>
    </row>
    <row r="1476" spans="1:7" x14ac:dyDescent="0.25">
      <c r="A1476" t="s">
        <v>17</v>
      </c>
      <c r="B1476" s="3">
        <v>44743</v>
      </c>
      <c r="C1476" s="9">
        <v>616.63</v>
      </c>
      <c r="D1476">
        <v>1212</v>
      </c>
      <c r="E1476" s="8">
        <v>1.9655222742973906</v>
      </c>
      <c r="F1476" s="7">
        <v>0.50877062706270626</v>
      </c>
      <c r="G1476">
        <v>2022</v>
      </c>
    </row>
    <row r="1477" spans="1:7" x14ac:dyDescent="0.25">
      <c r="A1477" t="s">
        <v>17</v>
      </c>
      <c r="B1477" s="3">
        <v>44774</v>
      </c>
      <c r="C1477" s="9">
        <v>598.14</v>
      </c>
      <c r="D1477">
        <v>1212</v>
      </c>
      <c r="E1477" s="8">
        <v>2.0262814725649516</v>
      </c>
      <c r="F1477" s="7">
        <v>0.49351485148514851</v>
      </c>
      <c r="G1477">
        <v>2022</v>
      </c>
    </row>
    <row r="1478" spans="1:7" x14ac:dyDescent="0.25">
      <c r="A1478" t="s">
        <v>17</v>
      </c>
      <c r="B1478" s="3">
        <v>44805</v>
      </c>
      <c r="C1478" s="9">
        <v>580.01</v>
      </c>
      <c r="D1478">
        <v>1212</v>
      </c>
      <c r="E1478" s="8">
        <v>2.0896191444975085</v>
      </c>
      <c r="F1478" s="7">
        <v>0.47855610561056106</v>
      </c>
      <c r="G1478">
        <v>2022</v>
      </c>
    </row>
    <row r="1479" spans="1:7" x14ac:dyDescent="0.25">
      <c r="A1479" t="s">
        <v>17</v>
      </c>
      <c r="B1479" s="3">
        <v>44835</v>
      </c>
      <c r="C1479" s="9">
        <v>558.4</v>
      </c>
      <c r="D1479">
        <v>1212</v>
      </c>
      <c r="E1479" s="8">
        <v>2.170487106017192</v>
      </c>
      <c r="F1479" s="7">
        <v>0.46072607260726073</v>
      </c>
      <c r="G1479">
        <v>2022</v>
      </c>
    </row>
    <row r="1480" spans="1:7" x14ac:dyDescent="0.25">
      <c r="A1480" t="s">
        <v>17</v>
      </c>
      <c r="B1480" s="3">
        <v>44866</v>
      </c>
      <c r="C1480" s="9">
        <v>551.29999999999995</v>
      </c>
      <c r="D1480">
        <v>1212</v>
      </c>
      <c r="E1480" s="8">
        <v>2.1984400507890443</v>
      </c>
      <c r="F1480" s="7">
        <v>0.45486798679867985</v>
      </c>
      <c r="G1480">
        <v>2022</v>
      </c>
    </row>
    <row r="1481" spans="1:7" x14ac:dyDescent="0.25">
      <c r="A1481" t="s">
        <v>17</v>
      </c>
      <c r="B1481" s="3">
        <v>44896</v>
      </c>
      <c r="C1481" s="9">
        <v>565.09</v>
      </c>
      <c r="D1481">
        <v>1212</v>
      </c>
      <c r="E1481" s="8">
        <v>2.1447910952237694</v>
      </c>
      <c r="F1481" s="7">
        <v>0.46624587458745875</v>
      </c>
      <c r="G1481">
        <v>2022</v>
      </c>
    </row>
    <row r="1482" spans="1:7" x14ac:dyDescent="0.25">
      <c r="A1482" t="s">
        <v>17</v>
      </c>
      <c r="B1482" s="3">
        <v>44927</v>
      </c>
      <c r="C1482" s="9">
        <v>608.1</v>
      </c>
      <c r="D1482">
        <v>1302</v>
      </c>
      <c r="E1482" s="8">
        <v>2.1410952146028612</v>
      </c>
      <c r="F1482" s="7">
        <v>0.46705069124423965</v>
      </c>
      <c r="G1482">
        <v>2023</v>
      </c>
    </row>
    <row r="1483" spans="1:7" x14ac:dyDescent="0.25">
      <c r="A1483" t="s">
        <v>17</v>
      </c>
      <c r="B1483" s="3">
        <v>44958</v>
      </c>
      <c r="C1483" s="9">
        <v>606.92999999999995</v>
      </c>
      <c r="D1483">
        <v>1302</v>
      </c>
      <c r="E1483" s="8">
        <v>2.1452226780683112</v>
      </c>
      <c r="F1483" s="7">
        <v>0.46615207373271883</v>
      </c>
      <c r="G1483">
        <v>2023</v>
      </c>
    </row>
    <row r="1484" spans="1:7" x14ac:dyDescent="0.25">
      <c r="A1484" t="s">
        <v>17</v>
      </c>
      <c r="B1484" s="3">
        <v>44986</v>
      </c>
      <c r="C1484" s="9">
        <v>578.73</v>
      </c>
      <c r="D1484">
        <v>1302</v>
      </c>
      <c r="E1484" s="8">
        <v>2.2497537711886371</v>
      </c>
      <c r="F1484" s="7">
        <v>0.44449308755760369</v>
      </c>
      <c r="G1484">
        <v>2023</v>
      </c>
    </row>
    <row r="1485" spans="1:7" x14ac:dyDescent="0.25">
      <c r="A1485" t="s">
        <v>17</v>
      </c>
      <c r="B1485" s="3">
        <v>45017</v>
      </c>
      <c r="C1485" s="9">
        <v>582.26</v>
      </c>
      <c r="D1485">
        <v>1302</v>
      </c>
      <c r="E1485" s="8">
        <v>2.236114450589084</v>
      </c>
      <c r="F1485" s="7">
        <v>0.44720430107526882</v>
      </c>
      <c r="G1485">
        <v>2023</v>
      </c>
    </row>
    <row r="1486" spans="1:7" x14ac:dyDescent="0.25">
      <c r="A1486" t="s">
        <v>17</v>
      </c>
      <c r="B1486" s="3">
        <v>45047</v>
      </c>
      <c r="C1486" s="9">
        <v>587.13</v>
      </c>
      <c r="D1486">
        <v>1320</v>
      </c>
      <c r="E1486" s="8">
        <v>2.2482244136732921</v>
      </c>
      <c r="F1486" s="7">
        <v>0.44479545454545455</v>
      </c>
      <c r="G1486">
        <v>2023</v>
      </c>
    </row>
    <row r="1487" spans="1:7" x14ac:dyDescent="0.25">
      <c r="A1487" t="s">
        <v>17</v>
      </c>
      <c r="B1487" s="3">
        <v>45078</v>
      </c>
      <c r="C1487" s="9">
        <v>621.14</v>
      </c>
      <c r="D1487">
        <v>1320</v>
      </c>
      <c r="E1487" s="8">
        <v>2.1251247705831213</v>
      </c>
      <c r="F1487" s="7">
        <v>0.47056060606060607</v>
      </c>
      <c r="G1487">
        <v>2023</v>
      </c>
    </row>
    <row r="1488" spans="1:7" x14ac:dyDescent="0.25">
      <c r="A1488" t="s">
        <v>17</v>
      </c>
      <c r="B1488" s="3">
        <v>45108</v>
      </c>
      <c r="C1488" s="9">
        <v>592.71</v>
      </c>
      <c r="D1488">
        <v>1320</v>
      </c>
      <c r="E1488" s="8">
        <v>2.2270587639823858</v>
      </c>
      <c r="F1488" s="7">
        <v>0.4490227272727273</v>
      </c>
      <c r="G1488">
        <v>2023</v>
      </c>
    </row>
    <row r="1489" spans="1:7" x14ac:dyDescent="0.25">
      <c r="A1489" t="s">
        <v>17</v>
      </c>
      <c r="B1489" s="3">
        <v>45139</v>
      </c>
      <c r="C1489" s="9">
        <v>580.72</v>
      </c>
      <c r="D1489">
        <v>1320</v>
      </c>
      <c r="E1489" s="8">
        <v>2.2730403636864582</v>
      </c>
      <c r="F1489" s="7">
        <v>0.43993939393939396</v>
      </c>
      <c r="G1489">
        <v>2023</v>
      </c>
    </row>
    <row r="1490" spans="1:7" x14ac:dyDescent="0.25">
      <c r="A1490" t="s">
        <v>17</v>
      </c>
      <c r="B1490" s="3">
        <v>45170</v>
      </c>
      <c r="C1490" s="9">
        <v>570.20000000000005</v>
      </c>
      <c r="D1490">
        <v>1320</v>
      </c>
      <c r="E1490" s="8">
        <v>2.3149772009821112</v>
      </c>
      <c r="F1490" s="7">
        <v>0.431969696969697</v>
      </c>
      <c r="G1490">
        <v>2023</v>
      </c>
    </row>
    <row r="1491" spans="1:7" x14ac:dyDescent="0.25">
      <c r="A1491" t="s">
        <v>17</v>
      </c>
      <c r="B1491" s="3">
        <v>45200</v>
      </c>
      <c r="C1491" s="9">
        <v>557.1</v>
      </c>
      <c r="D1491">
        <v>1320</v>
      </c>
      <c r="E1491" s="8">
        <v>2.3694130317716748</v>
      </c>
      <c r="F1491" s="7">
        <v>0.42204545454545456</v>
      </c>
      <c r="G1491">
        <v>2023</v>
      </c>
    </row>
    <row r="1492" spans="1:7" x14ac:dyDescent="0.25">
      <c r="A1492" t="s">
        <v>17</v>
      </c>
      <c r="B1492" s="3">
        <v>45231</v>
      </c>
      <c r="C1492" s="9">
        <v>551.04</v>
      </c>
      <c r="D1492">
        <v>1320</v>
      </c>
      <c r="E1492" s="8">
        <v>2.3954703832752613</v>
      </c>
      <c r="F1492" s="7">
        <v>0.41745454545454541</v>
      </c>
      <c r="G1492">
        <v>2023</v>
      </c>
    </row>
    <row r="1493" spans="1:7" x14ac:dyDescent="0.25">
      <c r="A1493" t="s">
        <v>17</v>
      </c>
      <c r="B1493" s="3">
        <v>45261</v>
      </c>
      <c r="C1493" s="9">
        <v>538.08000000000004</v>
      </c>
      <c r="D1493">
        <v>1320</v>
      </c>
      <c r="E1493" s="8">
        <v>2.4531668153434434</v>
      </c>
      <c r="F1493" s="7">
        <v>0.40763636363636369</v>
      </c>
      <c r="G1493">
        <v>2023</v>
      </c>
    </row>
    <row r="1494" spans="1:7" x14ac:dyDescent="0.25">
      <c r="A1494" t="s">
        <v>17</v>
      </c>
      <c r="B1494" s="3">
        <v>45292</v>
      </c>
      <c r="C1494" s="9">
        <v>550.51</v>
      </c>
      <c r="D1494">
        <v>1412</v>
      </c>
      <c r="E1494" s="8">
        <v>2.5648943706744656</v>
      </c>
      <c r="F1494" s="7">
        <v>0.38987960339943339</v>
      </c>
      <c r="G1494">
        <v>2024</v>
      </c>
    </row>
    <row r="1495" spans="1:7" x14ac:dyDescent="0.25">
      <c r="A1495" t="s">
        <v>17</v>
      </c>
      <c r="B1495" s="3">
        <v>45323</v>
      </c>
      <c r="C1495" s="9">
        <v>559.67999999999995</v>
      </c>
      <c r="D1495">
        <v>1412</v>
      </c>
      <c r="E1495" s="8">
        <v>2.5228702115494572</v>
      </c>
      <c r="F1495" s="7">
        <v>0.39637393767705381</v>
      </c>
      <c r="G1495">
        <v>2024</v>
      </c>
    </row>
    <row r="1496" spans="1:7" x14ac:dyDescent="0.25">
      <c r="A1496" t="s">
        <v>17</v>
      </c>
      <c r="B1496" s="3">
        <v>45352</v>
      </c>
      <c r="C1496" s="9">
        <v>592.19000000000005</v>
      </c>
      <c r="D1496">
        <v>1412</v>
      </c>
      <c r="E1496" s="8">
        <v>2.3843698812880998</v>
      </c>
      <c r="F1496" s="7">
        <v>0.41939801699716717</v>
      </c>
      <c r="G1496">
        <v>2024</v>
      </c>
    </row>
    <row r="1497" spans="1:7" x14ac:dyDescent="0.25">
      <c r="A1497" t="s">
        <v>17</v>
      </c>
      <c r="B1497" s="3">
        <v>45383</v>
      </c>
      <c r="C1497" s="9">
        <v>617.28</v>
      </c>
      <c r="D1497">
        <v>1412</v>
      </c>
      <c r="E1497" s="8">
        <v>2.2874546397096944</v>
      </c>
      <c r="F1497" s="7">
        <v>0.43716713881019831</v>
      </c>
      <c r="G1497">
        <v>2024</v>
      </c>
    </row>
    <row r="1498" spans="1:7" x14ac:dyDescent="0.25">
      <c r="A1498" t="s">
        <v>17</v>
      </c>
      <c r="B1498" s="3">
        <v>45413</v>
      </c>
      <c r="C1498" s="9">
        <v>618.47</v>
      </c>
      <c r="D1498">
        <v>1412</v>
      </c>
      <c r="E1498" s="8">
        <v>2.2830533413100067</v>
      </c>
      <c r="F1498" s="7">
        <v>0.43800991501416431</v>
      </c>
      <c r="G1498">
        <v>2024</v>
      </c>
    </row>
    <row r="1499" spans="1:7" x14ac:dyDescent="0.25">
      <c r="A1499" t="s">
        <v>17</v>
      </c>
      <c r="B1499" s="3">
        <v>45444</v>
      </c>
      <c r="C1499" s="9">
        <v>582.9</v>
      </c>
      <c r="D1499">
        <v>1412</v>
      </c>
      <c r="E1499" s="8">
        <v>2.4223709041001888</v>
      </c>
      <c r="F1499" s="7">
        <v>0.4128186968838527</v>
      </c>
      <c r="G1499">
        <v>2024</v>
      </c>
    </row>
    <row r="1500" spans="1:7" x14ac:dyDescent="0.25">
      <c r="A1500" t="s">
        <v>17</v>
      </c>
      <c r="B1500" s="3">
        <v>45474</v>
      </c>
      <c r="C1500" s="9">
        <v>548.42999999999995</v>
      </c>
      <c r="D1500">
        <v>1412</v>
      </c>
      <c r="E1500" s="8">
        <v>2.5746221030942875</v>
      </c>
      <c r="F1500" s="7">
        <v>0.38840651558073652</v>
      </c>
      <c r="G1500">
        <v>2024</v>
      </c>
    </row>
    <row r="1501" spans="1:7" x14ac:dyDescent="0.25">
      <c r="A1501" t="s">
        <v>17</v>
      </c>
      <c r="B1501" s="3">
        <v>45505</v>
      </c>
      <c r="C1501" s="9">
        <v>533.12</v>
      </c>
      <c r="D1501">
        <v>1412</v>
      </c>
      <c r="E1501" s="8">
        <v>2.6485594237695076</v>
      </c>
      <c r="F1501" s="7">
        <v>0.37756373937677057</v>
      </c>
      <c r="G1501">
        <v>2024</v>
      </c>
    </row>
    <row r="1502" spans="1:7" x14ac:dyDescent="0.25">
      <c r="A1502" t="s">
        <v>17</v>
      </c>
      <c r="B1502" s="3">
        <v>45536</v>
      </c>
      <c r="C1502" s="9">
        <v>535.32000000000005</v>
      </c>
      <c r="D1502">
        <v>1412</v>
      </c>
      <c r="E1502" s="8">
        <v>2.6376746618844802</v>
      </c>
      <c r="F1502" s="7">
        <v>0.37912181303116149</v>
      </c>
      <c r="G1502">
        <v>2024</v>
      </c>
    </row>
    <row r="1503" spans="1:7" x14ac:dyDescent="0.25">
      <c r="A1503" t="s">
        <v>17</v>
      </c>
      <c r="B1503" s="3">
        <v>45566</v>
      </c>
      <c r="C1503" s="9">
        <v>548.19000000000005</v>
      </c>
      <c r="D1503">
        <v>1412</v>
      </c>
      <c r="E1503" s="8">
        <v>2.5757492840073692</v>
      </c>
      <c r="F1503" s="7">
        <v>0.38823654390934847</v>
      </c>
      <c r="G1503">
        <v>2024</v>
      </c>
    </row>
    <row r="1504" spans="1:7" x14ac:dyDescent="0.25">
      <c r="A1504" t="s">
        <v>17</v>
      </c>
      <c r="B1504" s="3">
        <v>45597</v>
      </c>
      <c r="C1504" s="9">
        <v>578.16</v>
      </c>
      <c r="D1504">
        <v>1412</v>
      </c>
      <c r="E1504" s="8">
        <v>2.4422305244223055</v>
      </c>
      <c r="F1504" s="7">
        <v>0.40946175637393767</v>
      </c>
      <c r="G1504">
        <v>2024</v>
      </c>
    </row>
    <row r="1505" spans="1:7" x14ac:dyDescent="0.25">
      <c r="A1505" t="s">
        <v>17</v>
      </c>
      <c r="B1505" s="3">
        <v>45627</v>
      </c>
      <c r="C1505" s="9">
        <v>588.35</v>
      </c>
      <c r="D1505">
        <v>1412</v>
      </c>
      <c r="E1505" s="8">
        <v>2.3999320132574149</v>
      </c>
      <c r="F1505" s="7">
        <v>0.41667847025495752</v>
      </c>
      <c r="G1505">
        <v>2024</v>
      </c>
    </row>
    <row r="1506" spans="1:7" x14ac:dyDescent="0.25">
      <c r="A1506" t="s">
        <v>17</v>
      </c>
      <c r="B1506" s="3">
        <v>45658</v>
      </c>
      <c r="C1506" s="9">
        <v>598.72</v>
      </c>
      <c r="D1506">
        <v>1518</v>
      </c>
      <c r="E1506" s="8">
        <v>2.535408872260823</v>
      </c>
      <c r="F1506" s="7">
        <v>0.39441370223978922</v>
      </c>
      <c r="G1506">
        <v>2025</v>
      </c>
    </row>
    <row r="1507" spans="1:7" x14ac:dyDescent="0.25">
      <c r="A1507" t="s">
        <v>17</v>
      </c>
      <c r="B1507" s="3">
        <v>45689</v>
      </c>
      <c r="C1507" s="9">
        <v>625.33000000000004</v>
      </c>
      <c r="D1507">
        <v>1518</v>
      </c>
      <c r="E1507" s="8">
        <v>2.4275182703532532</v>
      </c>
      <c r="F1507" s="7">
        <v>0.4119433465085639</v>
      </c>
      <c r="G1507">
        <v>2025</v>
      </c>
    </row>
    <row r="1508" spans="1:7" x14ac:dyDescent="0.25">
      <c r="A1508" t="s">
        <v>17</v>
      </c>
      <c r="B1508" s="3">
        <v>45717</v>
      </c>
      <c r="C1508" s="9">
        <v>627.14</v>
      </c>
      <c r="D1508">
        <v>1518</v>
      </c>
      <c r="E1508" s="8">
        <v>2.4205121663424434</v>
      </c>
      <c r="F1508" s="7">
        <v>0.41313570487483531</v>
      </c>
      <c r="G1508">
        <v>2025</v>
      </c>
    </row>
    <row r="1509" spans="1:7" x14ac:dyDescent="0.25">
      <c r="A1509" t="s">
        <v>17</v>
      </c>
      <c r="B1509" s="3">
        <v>45748</v>
      </c>
      <c r="C1509" s="9">
        <v>652.71</v>
      </c>
      <c r="D1509">
        <v>1518</v>
      </c>
      <c r="E1509" s="8">
        <v>2.3256882842303623</v>
      </c>
      <c r="F1509" s="7">
        <v>0.42998023715415024</v>
      </c>
      <c r="G1509">
        <v>2025</v>
      </c>
    </row>
    <row r="1510" spans="1:7" x14ac:dyDescent="0.25">
      <c r="A1510" t="s">
        <v>17</v>
      </c>
      <c r="B1510" s="3">
        <v>45778</v>
      </c>
      <c r="C1510" s="9">
        <v>636</v>
      </c>
      <c r="D1510">
        <v>1518</v>
      </c>
      <c r="E1510" s="8">
        <v>2.3867924528301887</v>
      </c>
      <c r="F1510" s="7">
        <v>0.4189723320158103</v>
      </c>
      <c r="G1510">
        <v>2025</v>
      </c>
    </row>
    <row r="1511" spans="1:7" x14ac:dyDescent="0.25">
      <c r="A1511" t="s">
        <v>17</v>
      </c>
      <c r="B1511" s="3">
        <v>45809</v>
      </c>
      <c r="C1511" s="9">
        <v>637.62</v>
      </c>
      <c r="D1511">
        <v>1518</v>
      </c>
      <c r="E1511" s="8">
        <v>2.3807283334901665</v>
      </c>
      <c r="F1511" s="7">
        <v>0.42003952569169961</v>
      </c>
      <c r="G1511">
        <v>2025</v>
      </c>
    </row>
    <row r="1512" spans="1:7" x14ac:dyDescent="0.25">
      <c r="A1512" t="s">
        <v>18</v>
      </c>
      <c r="B1512" s="3">
        <v>42005</v>
      </c>
      <c r="C1512" s="9">
        <v>353.51</v>
      </c>
      <c r="D1512">
        <v>788</v>
      </c>
      <c r="E1512" s="8">
        <v>2.2290741421741962</v>
      </c>
      <c r="F1512" s="7">
        <v>0.4486167512690355</v>
      </c>
      <c r="G1512">
        <v>2015</v>
      </c>
    </row>
    <row r="1513" spans="1:7" x14ac:dyDescent="0.25">
      <c r="A1513" t="s">
        <v>18</v>
      </c>
      <c r="B1513" s="3">
        <v>42036</v>
      </c>
      <c r="C1513" s="9">
        <v>357.27</v>
      </c>
      <c r="D1513">
        <v>788</v>
      </c>
      <c r="E1513" s="8">
        <v>2.2056148011307974</v>
      </c>
      <c r="F1513" s="7">
        <v>0.45338832487309644</v>
      </c>
      <c r="G1513">
        <v>2015</v>
      </c>
    </row>
    <row r="1514" spans="1:7" x14ac:dyDescent="0.25">
      <c r="A1514" t="s">
        <v>18</v>
      </c>
      <c r="B1514" s="3">
        <v>42064</v>
      </c>
      <c r="C1514" s="9">
        <v>358.68</v>
      </c>
      <c r="D1514">
        <v>788</v>
      </c>
      <c r="E1514" s="8">
        <v>2.196944351511096</v>
      </c>
      <c r="F1514" s="7">
        <v>0.45517766497461931</v>
      </c>
      <c r="G1514">
        <v>2015</v>
      </c>
    </row>
    <row r="1515" spans="1:7" x14ac:dyDescent="0.25">
      <c r="A1515" t="s">
        <v>18</v>
      </c>
      <c r="B1515" s="3">
        <v>42095</v>
      </c>
      <c r="C1515" s="9">
        <v>374.85</v>
      </c>
      <c r="D1515">
        <v>788</v>
      </c>
      <c r="E1515" s="8">
        <v>2.1021742030145392</v>
      </c>
      <c r="F1515" s="7">
        <v>0.47569796954314725</v>
      </c>
      <c r="G1515">
        <v>2015</v>
      </c>
    </row>
    <row r="1516" spans="1:7" x14ac:dyDescent="0.25">
      <c r="A1516" t="s">
        <v>18</v>
      </c>
      <c r="B1516" s="3">
        <v>42125</v>
      </c>
      <c r="C1516" s="9">
        <v>395.23</v>
      </c>
      <c r="D1516">
        <v>788</v>
      </c>
      <c r="E1516" s="8">
        <v>1.9937757761303543</v>
      </c>
      <c r="F1516" s="7">
        <v>0.50156091370558376</v>
      </c>
      <c r="G1516">
        <v>2015</v>
      </c>
    </row>
    <row r="1517" spans="1:7" x14ac:dyDescent="0.25">
      <c r="A1517" t="s">
        <v>18</v>
      </c>
      <c r="B1517" s="3">
        <v>42156</v>
      </c>
      <c r="C1517" s="9">
        <v>368.71</v>
      </c>
      <c r="D1517">
        <v>788</v>
      </c>
      <c r="E1517" s="8">
        <v>2.1371809823438475</v>
      </c>
      <c r="F1517" s="7">
        <v>0.46790609137055833</v>
      </c>
      <c r="G1517">
        <v>2015</v>
      </c>
    </row>
    <row r="1518" spans="1:7" x14ac:dyDescent="0.25">
      <c r="A1518" t="s">
        <v>18</v>
      </c>
      <c r="B1518" s="3">
        <v>42186</v>
      </c>
      <c r="C1518" s="9">
        <v>372.24</v>
      </c>
      <c r="D1518">
        <v>788</v>
      </c>
      <c r="E1518" s="8">
        <v>2.1169138190414785</v>
      </c>
      <c r="F1518" s="7">
        <v>0.47238578680203047</v>
      </c>
      <c r="G1518">
        <v>2015</v>
      </c>
    </row>
    <row r="1519" spans="1:7" x14ac:dyDescent="0.25">
      <c r="A1519" t="s">
        <v>18</v>
      </c>
      <c r="B1519" s="3">
        <v>42217</v>
      </c>
      <c r="C1519" s="9">
        <v>361.93</v>
      </c>
      <c r="D1519">
        <v>788</v>
      </c>
      <c r="E1519" s="8">
        <v>2.1772165888431463</v>
      </c>
      <c r="F1519" s="7">
        <v>0.45930203045685281</v>
      </c>
      <c r="G1519">
        <v>2015</v>
      </c>
    </row>
    <row r="1520" spans="1:7" x14ac:dyDescent="0.25">
      <c r="A1520" t="s">
        <v>18</v>
      </c>
      <c r="B1520" s="3">
        <v>42248</v>
      </c>
      <c r="C1520" s="9">
        <v>362.9</v>
      </c>
      <c r="D1520">
        <v>788</v>
      </c>
      <c r="E1520" s="8">
        <v>2.1713970790851476</v>
      </c>
      <c r="F1520" s="7">
        <v>0.46053299492385785</v>
      </c>
      <c r="G1520">
        <v>2015</v>
      </c>
    </row>
    <row r="1521" spans="1:7" x14ac:dyDescent="0.25">
      <c r="A1521" t="s">
        <v>18</v>
      </c>
      <c r="B1521" s="3">
        <v>42278</v>
      </c>
      <c r="C1521" s="9">
        <v>359.66</v>
      </c>
      <c r="D1521">
        <v>788</v>
      </c>
      <c r="E1521" s="8">
        <v>2.1909581271200578</v>
      </c>
      <c r="F1521" s="7">
        <v>0.45642131979695433</v>
      </c>
      <c r="G1521">
        <v>2015</v>
      </c>
    </row>
    <row r="1522" spans="1:7" x14ac:dyDescent="0.25">
      <c r="A1522" t="s">
        <v>18</v>
      </c>
      <c r="B1522" s="3">
        <v>42309</v>
      </c>
      <c r="C1522" s="9">
        <v>385.8</v>
      </c>
      <c r="D1522">
        <v>788</v>
      </c>
      <c r="E1522" s="8">
        <v>2.0425090720580612</v>
      </c>
      <c r="F1522" s="7">
        <v>0.48959390862944163</v>
      </c>
      <c r="G1522">
        <v>2015</v>
      </c>
    </row>
    <row r="1523" spans="1:7" x14ac:dyDescent="0.25">
      <c r="A1523" t="s">
        <v>18</v>
      </c>
      <c r="B1523" s="3">
        <v>42339</v>
      </c>
      <c r="C1523" s="9">
        <v>394.21</v>
      </c>
      <c r="D1523">
        <v>788</v>
      </c>
      <c r="E1523" s="8">
        <v>1.9989345780167931</v>
      </c>
      <c r="F1523" s="7">
        <v>0.50026649746192886</v>
      </c>
      <c r="G1523">
        <v>2015</v>
      </c>
    </row>
    <row r="1524" spans="1:7" x14ac:dyDescent="0.25">
      <c r="A1524" t="s">
        <v>18</v>
      </c>
      <c r="B1524" s="3">
        <v>42370</v>
      </c>
      <c r="C1524" s="9">
        <v>448.06</v>
      </c>
      <c r="D1524">
        <v>880</v>
      </c>
      <c r="E1524" s="8">
        <v>1.9640226755345267</v>
      </c>
      <c r="F1524" s="7">
        <v>0.50915909090909095</v>
      </c>
      <c r="G1524">
        <v>2016</v>
      </c>
    </row>
    <row r="1525" spans="1:7" x14ac:dyDescent="0.25">
      <c r="A1525" t="s">
        <v>18</v>
      </c>
      <c r="B1525" s="3">
        <v>42401</v>
      </c>
      <c r="C1525" s="9">
        <v>430.56</v>
      </c>
      <c r="D1525">
        <v>880</v>
      </c>
      <c r="E1525" s="8">
        <v>2.0438498699368264</v>
      </c>
      <c r="F1525" s="7">
        <v>0.48927272727272725</v>
      </c>
      <c r="G1525">
        <v>2016</v>
      </c>
    </row>
    <row r="1526" spans="1:7" x14ac:dyDescent="0.25">
      <c r="A1526" t="s">
        <v>18</v>
      </c>
      <c r="B1526" s="3">
        <v>42430</v>
      </c>
      <c r="C1526" s="9">
        <v>440.79</v>
      </c>
      <c r="D1526">
        <v>880</v>
      </c>
      <c r="E1526" s="8">
        <v>1.9964155266680277</v>
      </c>
      <c r="F1526" s="7">
        <v>0.5008977272727273</v>
      </c>
      <c r="G1526">
        <v>2016</v>
      </c>
    </row>
    <row r="1527" spans="1:7" x14ac:dyDescent="0.25">
      <c r="A1527" t="s">
        <v>18</v>
      </c>
      <c r="B1527" s="3">
        <v>42461</v>
      </c>
      <c r="C1527" s="9">
        <v>433.96</v>
      </c>
      <c r="D1527">
        <v>880</v>
      </c>
      <c r="E1527" s="8">
        <v>2.027836666973915</v>
      </c>
      <c r="F1527" s="7">
        <v>0.49313636363636359</v>
      </c>
      <c r="G1527">
        <v>2016</v>
      </c>
    </row>
    <row r="1528" spans="1:7" x14ac:dyDescent="0.25">
      <c r="A1528" t="s">
        <v>18</v>
      </c>
      <c r="B1528" s="3">
        <v>42491</v>
      </c>
      <c r="C1528" s="9">
        <v>436.02</v>
      </c>
      <c r="D1528">
        <v>880</v>
      </c>
      <c r="E1528" s="8">
        <v>2.0182560433007661</v>
      </c>
      <c r="F1528" s="7">
        <v>0.49547727272727271</v>
      </c>
      <c r="G1528">
        <v>2016</v>
      </c>
    </row>
    <row r="1529" spans="1:7" x14ac:dyDescent="0.25">
      <c r="A1529" t="s">
        <v>18</v>
      </c>
      <c r="B1529" s="3">
        <v>42522</v>
      </c>
      <c r="C1529" s="9">
        <v>439.33</v>
      </c>
      <c r="D1529">
        <v>880</v>
      </c>
      <c r="E1529" s="8">
        <v>2.0030500990144082</v>
      </c>
      <c r="F1529" s="7">
        <v>0.49923863636363636</v>
      </c>
      <c r="G1529">
        <v>2016</v>
      </c>
    </row>
    <row r="1530" spans="1:7" x14ac:dyDescent="0.25">
      <c r="A1530" t="s">
        <v>18</v>
      </c>
      <c r="B1530" s="3">
        <v>42552</v>
      </c>
      <c r="C1530" s="9">
        <v>448.28</v>
      </c>
      <c r="D1530">
        <v>880</v>
      </c>
      <c r="E1530" s="8">
        <v>1.9630588025341307</v>
      </c>
      <c r="F1530" s="7">
        <v>0.50940909090909092</v>
      </c>
      <c r="G1530">
        <v>2016</v>
      </c>
    </row>
    <row r="1531" spans="1:7" x14ac:dyDescent="0.25">
      <c r="A1531" t="s">
        <v>18</v>
      </c>
      <c r="B1531" s="3">
        <v>42583</v>
      </c>
      <c r="C1531" s="9">
        <v>455.45</v>
      </c>
      <c r="D1531">
        <v>880</v>
      </c>
      <c r="E1531" s="8">
        <v>1.9321550115270612</v>
      </c>
      <c r="F1531" s="7">
        <v>0.5175568181818182</v>
      </c>
      <c r="G1531">
        <v>2016</v>
      </c>
    </row>
    <row r="1532" spans="1:7" x14ac:dyDescent="0.25">
      <c r="A1532" t="s">
        <v>18</v>
      </c>
      <c r="B1532" s="3">
        <v>42614</v>
      </c>
      <c r="C1532" s="9">
        <v>451.58</v>
      </c>
      <c r="D1532">
        <v>880</v>
      </c>
      <c r="E1532" s="8">
        <v>1.9487134062624563</v>
      </c>
      <c r="F1532" s="7">
        <v>0.51315909090909084</v>
      </c>
      <c r="G1532">
        <v>2016</v>
      </c>
    </row>
    <row r="1533" spans="1:7" x14ac:dyDescent="0.25">
      <c r="A1533" t="s">
        <v>18</v>
      </c>
      <c r="B1533" s="3">
        <v>42644</v>
      </c>
      <c r="C1533" s="9">
        <v>456.44</v>
      </c>
      <c r="D1533">
        <v>880</v>
      </c>
      <c r="E1533" s="8">
        <v>1.9279642450267287</v>
      </c>
      <c r="F1533" s="7">
        <v>0.51868181818181813</v>
      </c>
      <c r="G1533">
        <v>2016</v>
      </c>
    </row>
    <row r="1534" spans="1:7" x14ac:dyDescent="0.25">
      <c r="A1534" t="s">
        <v>18</v>
      </c>
      <c r="B1534" s="3">
        <v>42675</v>
      </c>
      <c r="C1534" s="9">
        <v>448.73</v>
      </c>
      <c r="D1534">
        <v>880</v>
      </c>
      <c r="E1534" s="8">
        <v>1.9610901878635258</v>
      </c>
      <c r="F1534" s="7">
        <v>0.50992045454545454</v>
      </c>
      <c r="G1534">
        <v>2016</v>
      </c>
    </row>
    <row r="1535" spans="1:7" x14ac:dyDescent="0.25">
      <c r="A1535" t="s">
        <v>18</v>
      </c>
      <c r="B1535" s="3">
        <v>42705</v>
      </c>
      <c r="C1535" s="9">
        <v>443.75</v>
      </c>
      <c r="D1535">
        <v>880</v>
      </c>
      <c r="E1535" s="8">
        <v>1.9830985915492958</v>
      </c>
      <c r="F1535" s="7">
        <v>0.50426136363636365</v>
      </c>
      <c r="G1535">
        <v>2016</v>
      </c>
    </row>
    <row r="1536" spans="1:7" x14ac:dyDescent="0.25">
      <c r="A1536" t="s">
        <v>18</v>
      </c>
      <c r="B1536" s="3">
        <v>42736</v>
      </c>
      <c r="C1536" s="9">
        <v>440.16</v>
      </c>
      <c r="D1536">
        <v>937</v>
      </c>
      <c r="E1536" s="8">
        <v>2.1287713558705925</v>
      </c>
      <c r="F1536" s="7">
        <v>0.46975453575240128</v>
      </c>
      <c r="G1536">
        <v>2017</v>
      </c>
    </row>
    <row r="1537" spans="1:7" x14ac:dyDescent="0.25">
      <c r="A1537" t="s">
        <v>18</v>
      </c>
      <c r="B1537" s="3">
        <v>42767</v>
      </c>
      <c r="C1537" s="9">
        <v>424.55</v>
      </c>
      <c r="D1537">
        <v>937</v>
      </c>
      <c r="E1537" s="8">
        <v>2.2070427511482746</v>
      </c>
      <c r="F1537" s="7">
        <v>0.45309498399146214</v>
      </c>
      <c r="G1537">
        <v>2017</v>
      </c>
    </row>
    <row r="1538" spans="1:7" x14ac:dyDescent="0.25">
      <c r="A1538" t="s">
        <v>18</v>
      </c>
      <c r="B1538" s="3">
        <v>42795</v>
      </c>
      <c r="C1538" s="9">
        <v>431.31</v>
      </c>
      <c r="D1538">
        <v>937</v>
      </c>
      <c r="E1538" s="8">
        <v>2.172451369084881</v>
      </c>
      <c r="F1538" s="7">
        <v>0.4603094983991462</v>
      </c>
      <c r="G1538">
        <v>2017</v>
      </c>
    </row>
    <row r="1539" spans="1:7" x14ac:dyDescent="0.25">
      <c r="A1539" t="s">
        <v>18</v>
      </c>
      <c r="B1539" s="3">
        <v>42826</v>
      </c>
      <c r="C1539" s="9">
        <v>448.51</v>
      </c>
      <c r="D1539">
        <v>937</v>
      </c>
      <c r="E1539" s="8">
        <v>2.089139595549709</v>
      </c>
      <c r="F1539" s="7">
        <v>0.47866595517609389</v>
      </c>
      <c r="G1539">
        <v>2017</v>
      </c>
    </row>
    <row r="1540" spans="1:7" x14ac:dyDescent="0.25">
      <c r="A1540" t="s">
        <v>18</v>
      </c>
      <c r="B1540" s="3">
        <v>42856</v>
      </c>
      <c r="C1540" s="9">
        <v>442.56</v>
      </c>
      <c r="D1540">
        <v>937</v>
      </c>
      <c r="E1540" s="8">
        <v>2.1172270426608821</v>
      </c>
      <c r="F1540" s="7">
        <v>0.47231590181430094</v>
      </c>
      <c r="G1540">
        <v>2017</v>
      </c>
    </row>
    <row r="1541" spans="1:7" x14ac:dyDescent="0.25">
      <c r="A1541" t="s">
        <v>18</v>
      </c>
      <c r="B1541" s="3">
        <v>42887</v>
      </c>
      <c r="C1541" s="9">
        <v>420.35</v>
      </c>
      <c r="D1541">
        <v>937</v>
      </c>
      <c r="E1541" s="8">
        <v>2.229094801950755</v>
      </c>
      <c r="F1541" s="7">
        <v>0.44861259338313769</v>
      </c>
      <c r="G1541">
        <v>2017</v>
      </c>
    </row>
    <row r="1542" spans="1:7" x14ac:dyDescent="0.25">
      <c r="A1542" t="s">
        <v>18</v>
      </c>
      <c r="B1542" s="3">
        <v>42917</v>
      </c>
      <c r="C1542" s="9">
        <v>425.62</v>
      </c>
      <c r="D1542">
        <v>937</v>
      </c>
      <c r="E1542" s="8">
        <v>2.2014942906818287</v>
      </c>
      <c r="F1542" s="7">
        <v>0.45423692636072571</v>
      </c>
      <c r="G1542">
        <v>2017</v>
      </c>
    </row>
    <row r="1543" spans="1:7" x14ac:dyDescent="0.25">
      <c r="A1543" t="s">
        <v>18</v>
      </c>
      <c r="B1543" s="3">
        <v>42948</v>
      </c>
      <c r="C1543" s="9">
        <v>410.43</v>
      </c>
      <c r="D1543">
        <v>937</v>
      </c>
      <c r="E1543" s="8">
        <v>2.2829715176765832</v>
      </c>
      <c r="F1543" s="7">
        <v>0.43802561366061898</v>
      </c>
      <c r="G1543">
        <v>2017</v>
      </c>
    </row>
    <row r="1544" spans="1:7" x14ac:dyDescent="0.25">
      <c r="A1544" t="s">
        <v>18</v>
      </c>
      <c r="B1544" s="3">
        <v>42979</v>
      </c>
      <c r="C1544" s="9">
        <v>410.27</v>
      </c>
      <c r="D1544">
        <v>937</v>
      </c>
      <c r="E1544" s="8">
        <v>2.2838618470763157</v>
      </c>
      <c r="F1544" s="7">
        <v>0.43785485592315898</v>
      </c>
      <c r="G1544">
        <v>2017</v>
      </c>
    </row>
    <row r="1545" spans="1:7" x14ac:dyDescent="0.25">
      <c r="A1545" t="s">
        <v>18</v>
      </c>
      <c r="B1545" s="3">
        <v>43009</v>
      </c>
      <c r="C1545" s="9">
        <v>421.05</v>
      </c>
      <c r="D1545">
        <v>937</v>
      </c>
      <c r="E1545" s="8">
        <v>2.2253889086806793</v>
      </c>
      <c r="F1545" s="7">
        <v>0.44935965848452508</v>
      </c>
      <c r="G1545">
        <v>2017</v>
      </c>
    </row>
    <row r="1546" spans="1:7" x14ac:dyDescent="0.25">
      <c r="A1546" t="s">
        <v>18</v>
      </c>
      <c r="B1546" s="3">
        <v>43040</v>
      </c>
      <c r="C1546" s="9">
        <v>407.37</v>
      </c>
      <c r="D1546">
        <v>937</v>
      </c>
      <c r="E1546" s="8">
        <v>2.30012028377151</v>
      </c>
      <c r="F1546" s="7">
        <v>0.43475987193169691</v>
      </c>
      <c r="G1546">
        <v>2017</v>
      </c>
    </row>
    <row r="1547" spans="1:7" x14ac:dyDescent="0.25">
      <c r="A1547" t="s">
        <v>18</v>
      </c>
      <c r="B1547" s="3">
        <v>43070</v>
      </c>
      <c r="C1547" s="9">
        <v>418.71</v>
      </c>
      <c r="D1547">
        <v>937</v>
      </c>
      <c r="E1547" s="8">
        <v>2.2378257027536961</v>
      </c>
      <c r="F1547" s="7">
        <v>0.44686232657417285</v>
      </c>
      <c r="G1547">
        <v>2017</v>
      </c>
    </row>
    <row r="1548" spans="1:7" x14ac:dyDescent="0.25">
      <c r="A1548" t="s">
        <v>18</v>
      </c>
      <c r="B1548" s="3">
        <v>43101</v>
      </c>
      <c r="C1548" s="9">
        <v>443.81</v>
      </c>
      <c r="D1548">
        <v>954</v>
      </c>
      <c r="E1548" s="8">
        <v>2.1495685090466643</v>
      </c>
      <c r="F1548" s="7">
        <v>0.46520964360587003</v>
      </c>
      <c r="G1548">
        <v>2018</v>
      </c>
    </row>
    <row r="1549" spans="1:7" x14ac:dyDescent="0.25">
      <c r="A1549" t="s">
        <v>18</v>
      </c>
      <c r="B1549" s="3">
        <v>43132</v>
      </c>
      <c r="C1549" s="9">
        <v>438.36</v>
      </c>
      <c r="D1549">
        <v>954</v>
      </c>
      <c r="E1549" s="8">
        <v>2.1762934574322474</v>
      </c>
      <c r="F1549" s="7">
        <v>0.45949685534591195</v>
      </c>
      <c r="G1549">
        <v>2018</v>
      </c>
    </row>
    <row r="1550" spans="1:7" x14ac:dyDescent="0.25">
      <c r="A1550" t="s">
        <v>18</v>
      </c>
      <c r="B1550" s="3">
        <v>43160</v>
      </c>
      <c r="C1550" s="9">
        <v>441.19</v>
      </c>
      <c r="D1550">
        <v>954</v>
      </c>
      <c r="E1550" s="8">
        <v>2.1623336884335549</v>
      </c>
      <c r="F1550" s="7">
        <v>0.46246331236897276</v>
      </c>
      <c r="G1550">
        <v>2018</v>
      </c>
    </row>
    <row r="1551" spans="1:7" x14ac:dyDescent="0.25">
      <c r="A1551" t="s">
        <v>18</v>
      </c>
      <c r="B1551" s="3">
        <v>43191</v>
      </c>
      <c r="C1551" s="9">
        <v>440.06</v>
      </c>
      <c r="D1551">
        <v>954</v>
      </c>
      <c r="E1551" s="8">
        <v>2.1678861973367267</v>
      </c>
      <c r="F1551" s="7">
        <v>0.46127882599580711</v>
      </c>
      <c r="G1551">
        <v>2018</v>
      </c>
    </row>
    <row r="1552" spans="1:7" x14ac:dyDescent="0.25">
      <c r="A1552" t="s">
        <v>18</v>
      </c>
      <c r="B1552" s="3">
        <v>43221</v>
      </c>
      <c r="C1552" s="9">
        <v>446.03</v>
      </c>
      <c r="D1552">
        <v>954</v>
      </c>
      <c r="E1552" s="8">
        <v>2.1388695827634914</v>
      </c>
      <c r="F1552" s="7">
        <v>0.46753668763102724</v>
      </c>
      <c r="G1552">
        <v>2018</v>
      </c>
    </row>
    <row r="1553" spans="1:7" x14ac:dyDescent="0.25">
      <c r="A1553" t="s">
        <v>18</v>
      </c>
      <c r="B1553" s="3">
        <v>43252</v>
      </c>
      <c r="C1553" s="9">
        <v>445.58</v>
      </c>
      <c r="D1553">
        <v>954</v>
      </c>
      <c r="E1553" s="8">
        <v>2.1410296691952064</v>
      </c>
      <c r="F1553" s="7">
        <v>0.46706498951781972</v>
      </c>
      <c r="G1553">
        <v>2018</v>
      </c>
    </row>
    <row r="1554" spans="1:7" x14ac:dyDescent="0.25">
      <c r="A1554" t="s">
        <v>18</v>
      </c>
      <c r="B1554" s="3">
        <v>43282</v>
      </c>
      <c r="C1554" s="9">
        <v>421.89</v>
      </c>
      <c r="D1554">
        <v>954</v>
      </c>
      <c r="E1554" s="8">
        <v>2.261252933229041</v>
      </c>
      <c r="F1554" s="7">
        <v>0.44223270440251572</v>
      </c>
      <c r="G1554">
        <v>2018</v>
      </c>
    </row>
    <row r="1555" spans="1:7" x14ac:dyDescent="0.25">
      <c r="A1555" t="s">
        <v>18</v>
      </c>
      <c r="B1555" s="3">
        <v>43313</v>
      </c>
      <c r="C1555" s="9">
        <v>417.05</v>
      </c>
      <c r="D1555">
        <v>954</v>
      </c>
      <c r="E1555" s="8">
        <v>2.2874955041361948</v>
      </c>
      <c r="F1555" s="7">
        <v>0.43715932914046124</v>
      </c>
      <c r="G1555">
        <v>2018</v>
      </c>
    </row>
    <row r="1556" spans="1:7" x14ac:dyDescent="0.25">
      <c r="A1556" t="s">
        <v>18</v>
      </c>
      <c r="B1556" s="3">
        <v>43344</v>
      </c>
      <c r="C1556" s="9">
        <v>418.48</v>
      </c>
      <c r="D1556">
        <v>954</v>
      </c>
      <c r="E1556" s="8">
        <v>2.2796788376983366</v>
      </c>
      <c r="F1556" s="7">
        <v>0.43865828092243186</v>
      </c>
      <c r="G1556">
        <v>2018</v>
      </c>
    </row>
    <row r="1557" spans="1:7" x14ac:dyDescent="0.25">
      <c r="A1557" t="s">
        <v>18</v>
      </c>
      <c r="B1557" s="3">
        <v>43374</v>
      </c>
      <c r="C1557" s="9">
        <v>443.69</v>
      </c>
      <c r="D1557">
        <v>954</v>
      </c>
      <c r="E1557" s="8">
        <v>2.150149879420316</v>
      </c>
      <c r="F1557" s="7">
        <v>0.46508385744234798</v>
      </c>
      <c r="G1557">
        <v>2018</v>
      </c>
    </row>
    <row r="1558" spans="1:7" x14ac:dyDescent="0.25">
      <c r="A1558" t="s">
        <v>18</v>
      </c>
      <c r="B1558" s="3">
        <v>43405</v>
      </c>
      <c r="C1558" s="9">
        <v>460.24</v>
      </c>
      <c r="D1558">
        <v>954</v>
      </c>
      <c r="E1558" s="8">
        <v>2.0728315661394054</v>
      </c>
      <c r="F1558" s="7">
        <v>0.48243186582809228</v>
      </c>
      <c r="G1558">
        <v>2018</v>
      </c>
    </row>
    <row r="1559" spans="1:7" x14ac:dyDescent="0.25">
      <c r="A1559" t="s">
        <v>18</v>
      </c>
      <c r="B1559" s="3">
        <v>43435</v>
      </c>
      <c r="C1559" s="9">
        <v>466.75</v>
      </c>
      <c r="D1559">
        <v>954</v>
      </c>
      <c r="E1559" s="8">
        <v>2.0439207284413499</v>
      </c>
      <c r="F1559" s="7">
        <v>0.48925576519916142</v>
      </c>
      <c r="G1559">
        <v>2018</v>
      </c>
    </row>
    <row r="1560" spans="1:7" x14ac:dyDescent="0.25">
      <c r="A1560" t="s">
        <v>18</v>
      </c>
      <c r="B1560" s="3">
        <v>43466</v>
      </c>
      <c r="C1560" s="9">
        <v>460.46</v>
      </c>
      <c r="D1560">
        <v>998</v>
      </c>
      <c r="E1560" s="8">
        <v>2.1673978195717325</v>
      </c>
      <c r="F1560" s="7">
        <v>0.46138276553106211</v>
      </c>
      <c r="G1560">
        <v>2019</v>
      </c>
    </row>
    <row r="1561" spans="1:7" x14ac:dyDescent="0.25">
      <c r="A1561" t="s">
        <v>18</v>
      </c>
      <c r="B1561" s="3">
        <v>43497</v>
      </c>
      <c r="C1561" s="9">
        <v>464.47</v>
      </c>
      <c r="D1561">
        <v>998</v>
      </c>
      <c r="E1561" s="8">
        <v>2.1486855986393092</v>
      </c>
      <c r="F1561" s="7">
        <v>0.46540080160320646</v>
      </c>
      <c r="G1561">
        <v>2019</v>
      </c>
    </row>
    <row r="1562" spans="1:7" x14ac:dyDescent="0.25">
      <c r="A1562" t="s">
        <v>18</v>
      </c>
      <c r="B1562" s="3">
        <v>43525</v>
      </c>
      <c r="C1562" s="9">
        <v>496.33</v>
      </c>
      <c r="D1562">
        <v>998</v>
      </c>
      <c r="E1562" s="8">
        <v>2.0107589708460099</v>
      </c>
      <c r="F1562" s="7">
        <v>0.49732464929859715</v>
      </c>
      <c r="G1562">
        <v>2019</v>
      </c>
    </row>
    <row r="1563" spans="1:7" x14ac:dyDescent="0.25">
      <c r="A1563" t="s">
        <v>18</v>
      </c>
      <c r="B1563" s="3">
        <v>43556</v>
      </c>
      <c r="C1563" s="9">
        <v>515.58000000000004</v>
      </c>
      <c r="D1563">
        <v>998</v>
      </c>
      <c r="E1563" s="8">
        <v>1.9356840839442957</v>
      </c>
      <c r="F1563" s="7">
        <v>0.51661322645290586</v>
      </c>
      <c r="G1563">
        <v>2019</v>
      </c>
    </row>
    <row r="1564" spans="1:7" x14ac:dyDescent="0.25">
      <c r="A1564" t="s">
        <v>18</v>
      </c>
      <c r="B1564" s="3">
        <v>43586</v>
      </c>
      <c r="C1564" s="9">
        <v>492.93</v>
      </c>
      <c r="D1564">
        <v>998</v>
      </c>
      <c r="E1564" s="8">
        <v>2.0246282433611262</v>
      </c>
      <c r="F1564" s="7">
        <v>0.49391783567134268</v>
      </c>
      <c r="G1564">
        <v>2019</v>
      </c>
    </row>
    <row r="1565" spans="1:7" x14ac:dyDescent="0.25">
      <c r="A1565" t="s">
        <v>18</v>
      </c>
      <c r="B1565" s="3">
        <v>43617</v>
      </c>
      <c r="C1565" s="9">
        <v>498.67</v>
      </c>
      <c r="D1565">
        <v>998</v>
      </c>
      <c r="E1565" s="8">
        <v>2.0013235205647022</v>
      </c>
      <c r="F1565" s="7">
        <v>0.49966933867735475</v>
      </c>
      <c r="G1565">
        <v>2019</v>
      </c>
    </row>
    <row r="1566" spans="1:7" x14ac:dyDescent="0.25">
      <c r="A1566" t="s">
        <v>18</v>
      </c>
      <c r="B1566" s="3">
        <v>43647</v>
      </c>
      <c r="C1566" s="9">
        <v>479.28</v>
      </c>
      <c r="D1566">
        <v>998</v>
      </c>
      <c r="E1566" s="8">
        <v>2.082290101819396</v>
      </c>
      <c r="F1566" s="7">
        <v>0.48024048096192384</v>
      </c>
      <c r="G1566">
        <v>2019</v>
      </c>
    </row>
    <row r="1567" spans="1:7" x14ac:dyDescent="0.25">
      <c r="A1567" t="s">
        <v>18</v>
      </c>
      <c r="B1567" s="3">
        <v>43678</v>
      </c>
      <c r="C1567" s="9">
        <v>462.24</v>
      </c>
      <c r="D1567">
        <v>998</v>
      </c>
      <c r="E1567" s="8">
        <v>2.1590515749394252</v>
      </c>
      <c r="F1567" s="7">
        <v>0.46316633266533069</v>
      </c>
      <c r="G1567">
        <v>2019</v>
      </c>
    </row>
    <row r="1568" spans="1:7" x14ac:dyDescent="0.25">
      <c r="A1568" t="s">
        <v>18</v>
      </c>
      <c r="B1568" s="3">
        <v>43709</v>
      </c>
      <c r="C1568" s="9">
        <v>458.21</v>
      </c>
      <c r="D1568">
        <v>998</v>
      </c>
      <c r="E1568" s="8">
        <v>2.1780406363894285</v>
      </c>
      <c r="F1568" s="7">
        <v>0.45912825651302602</v>
      </c>
      <c r="G1568">
        <v>2019</v>
      </c>
    </row>
    <row r="1569" spans="1:7" x14ac:dyDescent="0.25">
      <c r="A1569" t="s">
        <v>18</v>
      </c>
      <c r="B1569" s="3">
        <v>43739</v>
      </c>
      <c r="C1569" s="9">
        <v>462.57</v>
      </c>
      <c r="D1569">
        <v>998</v>
      </c>
      <c r="E1569" s="8">
        <v>2.1575112955876947</v>
      </c>
      <c r="F1569" s="7">
        <v>0.46349699398797595</v>
      </c>
      <c r="G1569">
        <v>2019</v>
      </c>
    </row>
    <row r="1570" spans="1:7" x14ac:dyDescent="0.25">
      <c r="A1570" t="s">
        <v>18</v>
      </c>
      <c r="B1570" s="3">
        <v>43770</v>
      </c>
      <c r="C1570" s="9">
        <v>455.37</v>
      </c>
      <c r="D1570">
        <v>998</v>
      </c>
      <c r="E1570" s="8">
        <v>2.1916243933504624</v>
      </c>
      <c r="F1570" s="7">
        <v>0.4562825651302605</v>
      </c>
      <c r="G1570">
        <v>2019</v>
      </c>
    </row>
    <row r="1571" spans="1:7" x14ac:dyDescent="0.25">
      <c r="A1571" t="s">
        <v>18</v>
      </c>
      <c r="B1571" s="3">
        <v>43800</v>
      </c>
      <c r="C1571" s="9">
        <v>516.91</v>
      </c>
      <c r="D1571">
        <v>998</v>
      </c>
      <c r="E1571" s="8">
        <v>1.9307036041090326</v>
      </c>
      <c r="F1571" s="7">
        <v>0.51794589178356709</v>
      </c>
      <c r="G1571">
        <v>2019</v>
      </c>
    </row>
    <row r="1572" spans="1:7" x14ac:dyDescent="0.25">
      <c r="A1572" t="s">
        <v>18</v>
      </c>
      <c r="B1572" s="3">
        <v>43831</v>
      </c>
      <c r="C1572" s="9">
        <v>507.13</v>
      </c>
      <c r="D1572">
        <v>1039</v>
      </c>
      <c r="E1572" s="8">
        <v>2.0487843353775168</v>
      </c>
      <c r="F1572" s="7">
        <v>0.48809432146294512</v>
      </c>
      <c r="G1572">
        <v>2020</v>
      </c>
    </row>
    <row r="1573" spans="1:7" x14ac:dyDescent="0.25">
      <c r="A1573" t="s">
        <v>18</v>
      </c>
      <c r="B1573" s="3">
        <v>43862</v>
      </c>
      <c r="C1573" s="9">
        <v>505.55</v>
      </c>
      <c r="D1573">
        <v>1045</v>
      </c>
      <c r="E1573" s="8">
        <v>2.0670556819305705</v>
      </c>
      <c r="F1573" s="7">
        <v>0.48377990430622009</v>
      </c>
      <c r="G1573">
        <v>2020</v>
      </c>
    </row>
    <row r="1574" spans="1:7" x14ac:dyDescent="0.25">
      <c r="A1574" t="s">
        <v>18</v>
      </c>
      <c r="B1574" s="3">
        <v>43891</v>
      </c>
      <c r="C1574" s="9">
        <v>533.65</v>
      </c>
      <c r="D1574">
        <v>1045</v>
      </c>
      <c r="E1574" s="8">
        <v>1.9582123114400825</v>
      </c>
      <c r="F1574" s="7">
        <v>0.51066985645933016</v>
      </c>
      <c r="G1574">
        <v>2020</v>
      </c>
    </row>
    <row r="1575" spans="1:7" x14ac:dyDescent="0.25">
      <c r="A1575" t="s">
        <v>18</v>
      </c>
      <c r="B1575" s="3">
        <v>43922</v>
      </c>
      <c r="C1575" s="9">
        <v>544.34</v>
      </c>
      <c r="D1575">
        <v>1045</v>
      </c>
      <c r="E1575" s="8">
        <v>1.9197560348311715</v>
      </c>
      <c r="F1575" s="7">
        <v>0.52089952153110053</v>
      </c>
      <c r="G1575">
        <v>2020</v>
      </c>
    </row>
    <row r="1576" spans="1:7" x14ac:dyDescent="0.25">
      <c r="A1576" t="s">
        <v>18</v>
      </c>
      <c r="B1576" s="3">
        <v>43952</v>
      </c>
      <c r="C1576" s="9">
        <v>558.80999999999995</v>
      </c>
      <c r="D1576">
        <v>1045</v>
      </c>
      <c r="E1576" s="8">
        <v>1.8700452747803369</v>
      </c>
      <c r="F1576" s="7">
        <v>0.53474641148325353</v>
      </c>
      <c r="G1576">
        <v>2020</v>
      </c>
    </row>
    <row r="1577" spans="1:7" x14ac:dyDescent="0.25">
      <c r="A1577" t="s">
        <v>18</v>
      </c>
      <c r="B1577" s="3">
        <v>43983</v>
      </c>
      <c r="C1577" s="9">
        <v>512.84</v>
      </c>
      <c r="D1577">
        <v>1045</v>
      </c>
      <c r="E1577" s="8">
        <v>2.0376725684423991</v>
      </c>
      <c r="F1577" s="7">
        <v>0.49075598086124406</v>
      </c>
      <c r="G1577">
        <v>2020</v>
      </c>
    </row>
    <row r="1578" spans="1:7" x14ac:dyDescent="0.25">
      <c r="A1578" t="s">
        <v>18</v>
      </c>
      <c r="B1578" s="3">
        <v>44013</v>
      </c>
      <c r="C1578" s="9">
        <v>505.72</v>
      </c>
      <c r="D1578">
        <v>1045</v>
      </c>
      <c r="E1578" s="8">
        <v>2.0663608320809934</v>
      </c>
      <c r="F1578" s="7">
        <v>0.48394258373205745</v>
      </c>
      <c r="G1578">
        <v>2020</v>
      </c>
    </row>
    <row r="1579" spans="1:7" x14ac:dyDescent="0.25">
      <c r="A1579" t="s">
        <v>18</v>
      </c>
      <c r="B1579" s="3">
        <v>44044</v>
      </c>
      <c r="C1579" s="9">
        <v>529.76</v>
      </c>
      <c r="D1579">
        <v>1045</v>
      </c>
      <c r="E1579" s="8">
        <v>1.9725913621262459</v>
      </c>
      <c r="F1579" s="7">
        <v>0.50694736842105259</v>
      </c>
      <c r="G1579">
        <v>2020</v>
      </c>
    </row>
    <row r="1580" spans="1:7" x14ac:dyDescent="0.25">
      <c r="A1580" t="s">
        <v>18</v>
      </c>
      <c r="B1580" s="3">
        <v>44075</v>
      </c>
      <c r="C1580" s="9">
        <v>563.75</v>
      </c>
      <c r="D1580">
        <v>1045</v>
      </c>
      <c r="E1580" s="8">
        <v>1.8536585365853659</v>
      </c>
      <c r="F1580" s="7">
        <v>0.53947368421052633</v>
      </c>
      <c r="G1580">
        <v>2020</v>
      </c>
    </row>
    <row r="1581" spans="1:7" x14ac:dyDescent="0.25">
      <c r="A1581" t="s">
        <v>18</v>
      </c>
      <c r="B1581" s="3">
        <v>44105</v>
      </c>
      <c r="C1581" s="9">
        <v>592.25</v>
      </c>
      <c r="D1581">
        <v>1045</v>
      </c>
      <c r="E1581" s="8">
        <v>1.7644575770367243</v>
      </c>
      <c r="F1581" s="7">
        <v>0.56674641148325355</v>
      </c>
      <c r="G1581">
        <v>2020</v>
      </c>
    </row>
    <row r="1582" spans="1:7" x14ac:dyDescent="0.25">
      <c r="A1582" t="s">
        <v>18</v>
      </c>
      <c r="B1582" s="3">
        <v>44136</v>
      </c>
      <c r="C1582" s="9">
        <v>629.63</v>
      </c>
      <c r="D1582">
        <v>1045</v>
      </c>
      <c r="E1582" s="8">
        <v>1.6597049060559377</v>
      </c>
      <c r="F1582" s="7">
        <v>0.60251674641148323</v>
      </c>
      <c r="G1582">
        <v>2020</v>
      </c>
    </row>
    <row r="1583" spans="1:7" x14ac:dyDescent="0.25">
      <c r="A1583" t="s">
        <v>18</v>
      </c>
      <c r="B1583" s="3">
        <v>44166</v>
      </c>
      <c r="C1583" s="9">
        <v>621.09</v>
      </c>
      <c r="D1583">
        <v>1045</v>
      </c>
      <c r="E1583" s="8">
        <v>1.6825258819172744</v>
      </c>
      <c r="F1583" s="7">
        <v>0.59434449760765551</v>
      </c>
      <c r="G1583">
        <v>2020</v>
      </c>
    </row>
    <row r="1584" spans="1:7" x14ac:dyDescent="0.25">
      <c r="A1584" t="s">
        <v>18</v>
      </c>
      <c r="B1584" s="3">
        <v>44197</v>
      </c>
      <c r="C1584" s="9">
        <v>644</v>
      </c>
      <c r="D1584">
        <v>1100</v>
      </c>
      <c r="E1584" s="8">
        <v>1.7080745341614907</v>
      </c>
      <c r="F1584" s="7">
        <v>0.58545454545454545</v>
      </c>
      <c r="G1584">
        <v>2021</v>
      </c>
    </row>
    <row r="1585" spans="1:7" x14ac:dyDescent="0.25">
      <c r="A1585" t="s">
        <v>18</v>
      </c>
      <c r="B1585" s="3">
        <v>44228</v>
      </c>
      <c r="C1585" s="9">
        <v>629.82000000000005</v>
      </c>
      <c r="D1585">
        <v>1100</v>
      </c>
      <c r="E1585" s="8">
        <v>1.7465307548188369</v>
      </c>
      <c r="F1585" s="7">
        <v>0.57256363636363639</v>
      </c>
      <c r="G1585">
        <v>2021</v>
      </c>
    </row>
    <row r="1586" spans="1:7" x14ac:dyDescent="0.25">
      <c r="A1586" t="s">
        <v>18</v>
      </c>
      <c r="B1586" s="3">
        <v>44256</v>
      </c>
      <c r="C1586" s="9">
        <v>612.55999999999995</v>
      </c>
      <c r="D1586">
        <v>1100</v>
      </c>
      <c r="E1586" s="8">
        <v>1.795742457881677</v>
      </c>
      <c r="F1586" s="7">
        <v>0.55687272727272719</v>
      </c>
      <c r="G1586">
        <v>2021</v>
      </c>
    </row>
    <row r="1587" spans="1:7" x14ac:dyDescent="0.25">
      <c r="A1587" t="s">
        <v>18</v>
      </c>
      <c r="B1587" s="3">
        <v>44287</v>
      </c>
      <c r="C1587" s="9">
        <v>622.04</v>
      </c>
      <c r="D1587">
        <v>1100</v>
      </c>
      <c r="E1587" s="8">
        <v>1.7683750241142049</v>
      </c>
      <c r="F1587" s="7">
        <v>0.56549090909090904</v>
      </c>
      <c r="G1587">
        <v>2021</v>
      </c>
    </row>
    <row r="1588" spans="1:7" x14ac:dyDescent="0.25">
      <c r="A1588" t="s">
        <v>18</v>
      </c>
      <c r="B1588" s="3">
        <v>44317</v>
      </c>
      <c r="C1588" s="9">
        <v>622.76</v>
      </c>
      <c r="D1588">
        <v>1100</v>
      </c>
      <c r="E1588" s="8">
        <v>1.7663305286145545</v>
      </c>
      <c r="F1588" s="7">
        <v>0.56614545454545451</v>
      </c>
      <c r="G1588">
        <v>2021</v>
      </c>
    </row>
    <row r="1589" spans="1:7" x14ac:dyDescent="0.25">
      <c r="A1589" t="s">
        <v>18</v>
      </c>
      <c r="B1589" s="3">
        <v>44348</v>
      </c>
      <c r="C1589" s="9">
        <v>619.24</v>
      </c>
      <c r="D1589">
        <v>1100</v>
      </c>
      <c r="E1589" s="8">
        <v>1.7763710354628253</v>
      </c>
      <c r="F1589" s="7">
        <v>0.56294545454545453</v>
      </c>
      <c r="G1589">
        <v>2021</v>
      </c>
    </row>
    <row r="1590" spans="1:7" x14ac:dyDescent="0.25">
      <c r="A1590" t="s">
        <v>18</v>
      </c>
      <c r="B1590" s="3">
        <v>44378</v>
      </c>
      <c r="C1590" s="9">
        <v>621.34</v>
      </c>
      <c r="D1590">
        <v>1100</v>
      </c>
      <c r="E1590" s="8">
        <v>1.7703672707374383</v>
      </c>
      <c r="F1590" s="7">
        <v>0.5648545454545455</v>
      </c>
      <c r="G1590">
        <v>2021</v>
      </c>
    </row>
    <row r="1591" spans="1:7" x14ac:dyDescent="0.25">
      <c r="A1591" t="s">
        <v>18</v>
      </c>
      <c r="B1591" s="3">
        <v>44409</v>
      </c>
      <c r="C1591" s="9">
        <v>634.17999999999995</v>
      </c>
      <c r="D1591">
        <v>1100</v>
      </c>
      <c r="E1591" s="8">
        <v>1.7345233214544769</v>
      </c>
      <c r="F1591" s="7">
        <v>0.57652727272727267</v>
      </c>
      <c r="G1591">
        <v>2021</v>
      </c>
    </row>
    <row r="1592" spans="1:7" x14ac:dyDescent="0.25">
      <c r="A1592" t="s">
        <v>18</v>
      </c>
      <c r="B1592" s="3">
        <v>44440</v>
      </c>
      <c r="C1592" s="9">
        <v>643.05999999999995</v>
      </c>
      <c r="D1592">
        <v>1100</v>
      </c>
      <c r="E1592" s="8">
        <v>1.7105713308244954</v>
      </c>
      <c r="F1592" s="7">
        <v>0.5845999999999999</v>
      </c>
      <c r="G1592">
        <v>2021</v>
      </c>
    </row>
    <row r="1593" spans="1:7" x14ac:dyDescent="0.25">
      <c r="A1593" t="s">
        <v>18</v>
      </c>
      <c r="B1593" s="3">
        <v>44470</v>
      </c>
      <c r="C1593" s="9">
        <v>673.85</v>
      </c>
      <c r="D1593">
        <v>1100</v>
      </c>
      <c r="E1593" s="8">
        <v>1.6324107739111078</v>
      </c>
      <c r="F1593" s="7">
        <v>0.61259090909090907</v>
      </c>
      <c r="G1593">
        <v>2021</v>
      </c>
    </row>
    <row r="1594" spans="1:7" x14ac:dyDescent="0.25">
      <c r="A1594" t="s">
        <v>18</v>
      </c>
      <c r="B1594" s="3">
        <v>44501</v>
      </c>
      <c r="C1594" s="9">
        <v>665.6</v>
      </c>
      <c r="D1594">
        <v>1100</v>
      </c>
      <c r="E1594" s="8">
        <v>1.6526442307692306</v>
      </c>
      <c r="F1594" s="7">
        <v>0.60509090909090912</v>
      </c>
      <c r="G1594">
        <v>2021</v>
      </c>
    </row>
    <row r="1595" spans="1:7" x14ac:dyDescent="0.25">
      <c r="A1595" t="s">
        <v>18</v>
      </c>
      <c r="B1595" s="3">
        <v>44531</v>
      </c>
      <c r="C1595" s="9">
        <v>666.26</v>
      </c>
      <c r="D1595">
        <v>1100</v>
      </c>
      <c r="E1595" s="8">
        <v>1.6510071143397473</v>
      </c>
      <c r="F1595" s="7">
        <v>0.60569090909090906</v>
      </c>
      <c r="G1595">
        <v>2021</v>
      </c>
    </row>
    <row r="1596" spans="1:7" x14ac:dyDescent="0.25">
      <c r="A1596" t="s">
        <v>18</v>
      </c>
      <c r="B1596" s="3">
        <v>44562</v>
      </c>
      <c r="C1596" s="9">
        <v>692.83</v>
      </c>
      <c r="D1596">
        <v>1212</v>
      </c>
      <c r="E1596" s="8">
        <v>1.7493468816304143</v>
      </c>
      <c r="F1596" s="7">
        <v>0.57164191419141919</v>
      </c>
      <c r="G1596">
        <v>2022</v>
      </c>
    </row>
    <row r="1597" spans="1:7" x14ac:dyDescent="0.25">
      <c r="A1597" t="s">
        <v>18</v>
      </c>
      <c r="B1597" s="3">
        <v>44593</v>
      </c>
      <c r="C1597" s="9">
        <v>697.37</v>
      </c>
      <c r="D1597">
        <v>1212</v>
      </c>
      <c r="E1597" s="8">
        <v>1.7379583291509528</v>
      </c>
      <c r="F1597" s="7">
        <v>0.57538778877887786</v>
      </c>
      <c r="G1597">
        <v>2022</v>
      </c>
    </row>
    <row r="1598" spans="1:7" x14ac:dyDescent="0.25">
      <c r="A1598" t="s">
        <v>18</v>
      </c>
      <c r="B1598" s="3">
        <v>44621</v>
      </c>
      <c r="C1598" s="9">
        <v>750.71</v>
      </c>
      <c r="D1598">
        <v>1212</v>
      </c>
      <c r="E1598" s="8">
        <v>1.6144716335202673</v>
      </c>
      <c r="F1598" s="7">
        <v>0.61939768976897691</v>
      </c>
      <c r="G1598">
        <v>2022</v>
      </c>
    </row>
    <row r="1599" spans="1:7" x14ac:dyDescent="0.25">
      <c r="A1599" t="s">
        <v>18</v>
      </c>
      <c r="B1599" s="3">
        <v>44652</v>
      </c>
      <c r="C1599" s="9">
        <v>768.42</v>
      </c>
      <c r="D1599">
        <v>1212</v>
      </c>
      <c r="E1599" s="8">
        <v>1.5772624346060748</v>
      </c>
      <c r="F1599" s="7">
        <v>0.63400990099009902</v>
      </c>
      <c r="G1599">
        <v>2022</v>
      </c>
    </row>
    <row r="1600" spans="1:7" x14ac:dyDescent="0.25">
      <c r="A1600" t="s">
        <v>18</v>
      </c>
      <c r="B1600" s="3">
        <v>44682</v>
      </c>
      <c r="C1600" s="9">
        <v>723.55</v>
      </c>
      <c r="D1600">
        <v>1212</v>
      </c>
      <c r="E1600" s="8">
        <v>1.6750742865040427</v>
      </c>
      <c r="F1600" s="7">
        <v>0.59698844884488445</v>
      </c>
      <c r="G1600">
        <v>2022</v>
      </c>
    </row>
    <row r="1601" spans="1:7" x14ac:dyDescent="0.25">
      <c r="A1601" t="s">
        <v>18</v>
      </c>
      <c r="B1601" s="3">
        <v>44713</v>
      </c>
      <c r="C1601" s="9">
        <v>733.14</v>
      </c>
      <c r="D1601">
        <v>1212</v>
      </c>
      <c r="E1601" s="8">
        <v>1.6531631066372043</v>
      </c>
      <c r="F1601" s="7">
        <v>0.60490099009900988</v>
      </c>
      <c r="G1601">
        <v>2022</v>
      </c>
    </row>
    <row r="1602" spans="1:7" x14ac:dyDescent="0.25">
      <c r="A1602" t="s">
        <v>18</v>
      </c>
      <c r="B1602" s="3">
        <v>44743</v>
      </c>
      <c r="C1602" s="9">
        <v>723.75</v>
      </c>
      <c r="D1602">
        <v>1212</v>
      </c>
      <c r="E1602" s="8">
        <v>1.6746113989637306</v>
      </c>
      <c r="F1602" s="7">
        <v>0.59715346534653468</v>
      </c>
      <c r="G1602">
        <v>2022</v>
      </c>
    </row>
    <row r="1603" spans="1:7" x14ac:dyDescent="0.25">
      <c r="A1603" t="s">
        <v>18</v>
      </c>
      <c r="B1603" s="3">
        <v>44774</v>
      </c>
      <c r="C1603" s="9">
        <v>717.82</v>
      </c>
      <c r="D1603">
        <v>1212</v>
      </c>
      <c r="E1603" s="8">
        <v>1.6884455713131425</v>
      </c>
      <c r="F1603" s="7">
        <v>0.59226072607260727</v>
      </c>
      <c r="G1603">
        <v>2022</v>
      </c>
    </row>
    <row r="1604" spans="1:7" x14ac:dyDescent="0.25">
      <c r="A1604" t="s">
        <v>18</v>
      </c>
      <c r="B1604" s="3">
        <v>44805</v>
      </c>
      <c r="C1604" s="9">
        <v>714.14</v>
      </c>
      <c r="D1604">
        <v>1212</v>
      </c>
      <c r="E1604" s="8">
        <v>1.6971462178284371</v>
      </c>
      <c r="F1604" s="7">
        <v>0.58922442244224427</v>
      </c>
      <c r="G1604">
        <v>2022</v>
      </c>
    </row>
    <row r="1605" spans="1:7" x14ac:dyDescent="0.25">
      <c r="A1605" t="s">
        <v>18</v>
      </c>
      <c r="B1605" s="3">
        <v>44835</v>
      </c>
      <c r="C1605" s="9">
        <v>736.28</v>
      </c>
      <c r="D1605">
        <v>1212</v>
      </c>
      <c r="E1605" s="8">
        <v>1.6461128918346282</v>
      </c>
      <c r="F1605" s="7">
        <v>0.60749174917491744</v>
      </c>
      <c r="G1605">
        <v>2022</v>
      </c>
    </row>
    <row r="1606" spans="1:7" x14ac:dyDescent="0.25">
      <c r="A1606" t="s">
        <v>18</v>
      </c>
      <c r="B1606" s="3">
        <v>44866</v>
      </c>
      <c r="C1606" s="9">
        <v>749.25</v>
      </c>
      <c r="D1606">
        <v>1212</v>
      </c>
      <c r="E1606" s="8">
        <v>1.6176176176176176</v>
      </c>
      <c r="F1606" s="7">
        <v>0.61819306930693074</v>
      </c>
      <c r="G1606">
        <v>2022</v>
      </c>
    </row>
    <row r="1607" spans="1:7" x14ac:dyDescent="0.25">
      <c r="A1607" t="s">
        <v>18</v>
      </c>
      <c r="B1607" s="3">
        <v>44896</v>
      </c>
      <c r="C1607" s="9">
        <v>752.74</v>
      </c>
      <c r="D1607">
        <v>1212</v>
      </c>
      <c r="E1607" s="8">
        <v>1.6101177033238567</v>
      </c>
      <c r="F1607" s="7">
        <v>0.62107260726072611</v>
      </c>
      <c r="G1607">
        <v>2022</v>
      </c>
    </row>
    <row r="1608" spans="1:7" x14ac:dyDescent="0.25">
      <c r="A1608" t="s">
        <v>18</v>
      </c>
      <c r="B1608" s="3">
        <v>44927</v>
      </c>
      <c r="C1608" s="9">
        <v>770.19</v>
      </c>
      <c r="D1608">
        <v>1302</v>
      </c>
      <c r="E1608" s="8">
        <v>1.6904919565302068</v>
      </c>
      <c r="F1608" s="7">
        <v>0.59154377880184339</v>
      </c>
      <c r="G1608">
        <v>2023</v>
      </c>
    </row>
    <row r="1609" spans="1:7" x14ac:dyDescent="0.25">
      <c r="A1609" t="s">
        <v>18</v>
      </c>
      <c r="B1609" s="3">
        <v>44958</v>
      </c>
      <c r="C1609" s="9">
        <v>745.96</v>
      </c>
      <c r="D1609">
        <v>1302</v>
      </c>
      <c r="E1609" s="8">
        <v>1.7454018982251058</v>
      </c>
      <c r="F1609" s="7">
        <v>0.57293394777265749</v>
      </c>
      <c r="G1609">
        <v>2023</v>
      </c>
    </row>
    <row r="1610" spans="1:7" x14ac:dyDescent="0.25">
      <c r="A1610" t="s">
        <v>18</v>
      </c>
      <c r="B1610" s="3">
        <v>44986</v>
      </c>
      <c r="C1610" s="9">
        <v>735.62</v>
      </c>
      <c r="D1610">
        <v>1302</v>
      </c>
      <c r="E1610" s="8">
        <v>1.7699355645577879</v>
      </c>
      <c r="F1610" s="7">
        <v>0.56499231950844853</v>
      </c>
      <c r="G1610">
        <v>2023</v>
      </c>
    </row>
    <row r="1611" spans="1:7" x14ac:dyDescent="0.25">
      <c r="A1611" t="s">
        <v>18</v>
      </c>
      <c r="B1611" s="3">
        <v>45017</v>
      </c>
      <c r="C1611" s="9">
        <v>750.77</v>
      </c>
      <c r="D1611">
        <v>1302</v>
      </c>
      <c r="E1611" s="8">
        <v>1.7342195346111327</v>
      </c>
      <c r="F1611" s="7">
        <v>0.57662826420890934</v>
      </c>
      <c r="G1611">
        <v>2023</v>
      </c>
    </row>
    <row r="1612" spans="1:7" x14ac:dyDescent="0.25">
      <c r="A1612" t="s">
        <v>18</v>
      </c>
      <c r="B1612" s="3">
        <v>45047</v>
      </c>
      <c r="C1612" s="9">
        <v>749.76</v>
      </c>
      <c r="D1612">
        <v>1320</v>
      </c>
      <c r="E1612" s="8">
        <v>1.7605633802816902</v>
      </c>
      <c r="F1612" s="7">
        <v>0.56799999999999995</v>
      </c>
      <c r="G1612">
        <v>2023</v>
      </c>
    </row>
    <row r="1613" spans="1:7" x14ac:dyDescent="0.25">
      <c r="A1613" t="s">
        <v>18</v>
      </c>
      <c r="B1613" s="3">
        <v>45078</v>
      </c>
      <c r="C1613" s="9">
        <v>741</v>
      </c>
      <c r="D1613">
        <v>1320</v>
      </c>
      <c r="E1613" s="8">
        <v>1.7813765182186234</v>
      </c>
      <c r="F1613" s="7">
        <v>0.5613636363636364</v>
      </c>
      <c r="G1613">
        <v>2023</v>
      </c>
    </row>
    <row r="1614" spans="1:7" x14ac:dyDescent="0.25">
      <c r="A1614" t="s">
        <v>18</v>
      </c>
      <c r="B1614" s="3">
        <v>45108</v>
      </c>
      <c r="C1614" s="9">
        <v>738.12</v>
      </c>
      <c r="D1614">
        <v>1320</v>
      </c>
      <c r="E1614" s="8">
        <v>1.788327101284344</v>
      </c>
      <c r="F1614" s="7">
        <v>0.55918181818181822</v>
      </c>
      <c r="G1614">
        <v>2023</v>
      </c>
    </row>
    <row r="1615" spans="1:7" x14ac:dyDescent="0.25">
      <c r="A1615" t="s">
        <v>18</v>
      </c>
      <c r="B1615" s="3">
        <v>45139</v>
      </c>
      <c r="C1615" s="9">
        <v>722.78</v>
      </c>
      <c r="D1615">
        <v>1320</v>
      </c>
      <c r="E1615" s="8">
        <v>1.8262818561664684</v>
      </c>
      <c r="F1615" s="7">
        <v>0.54756060606060608</v>
      </c>
      <c r="G1615">
        <v>2023</v>
      </c>
    </row>
    <row r="1616" spans="1:7" x14ac:dyDescent="0.25">
      <c r="A1616" t="s">
        <v>18</v>
      </c>
      <c r="B1616" s="3">
        <v>45170</v>
      </c>
      <c r="C1616" s="9">
        <v>719.92</v>
      </c>
      <c r="D1616">
        <v>1320</v>
      </c>
      <c r="E1616" s="8">
        <v>1.8335370596732972</v>
      </c>
      <c r="F1616" s="7">
        <v>0.54539393939393932</v>
      </c>
      <c r="G1616">
        <v>2023</v>
      </c>
    </row>
    <row r="1617" spans="1:7" x14ac:dyDescent="0.25">
      <c r="A1617" t="s">
        <v>18</v>
      </c>
      <c r="B1617" s="3">
        <v>45200</v>
      </c>
      <c r="C1617" s="9">
        <v>721.17</v>
      </c>
      <c r="D1617">
        <v>1320</v>
      </c>
      <c r="E1617" s="8">
        <v>1.8303589999584011</v>
      </c>
      <c r="F1617" s="7">
        <v>0.54634090909090904</v>
      </c>
      <c r="G1617">
        <v>2023</v>
      </c>
    </row>
    <row r="1618" spans="1:7" x14ac:dyDescent="0.25">
      <c r="A1618" t="s">
        <v>18</v>
      </c>
      <c r="B1618" s="3">
        <v>45231</v>
      </c>
      <c r="C1618" s="9">
        <v>728.27</v>
      </c>
      <c r="D1618">
        <v>1320</v>
      </c>
      <c r="E1618" s="8">
        <v>1.8125145893693273</v>
      </c>
      <c r="F1618" s="7">
        <v>0.55171969696969692</v>
      </c>
      <c r="G1618">
        <v>2023</v>
      </c>
    </row>
    <row r="1619" spans="1:7" x14ac:dyDescent="0.25">
      <c r="A1619" t="s">
        <v>18</v>
      </c>
      <c r="B1619" s="3">
        <v>45261</v>
      </c>
      <c r="C1619" s="9">
        <v>738.61</v>
      </c>
      <c r="D1619">
        <v>1320</v>
      </c>
      <c r="E1619" s="8">
        <v>1.7871407102530428</v>
      </c>
      <c r="F1619" s="7">
        <v>0.55955303030303027</v>
      </c>
      <c r="G1619">
        <v>2023</v>
      </c>
    </row>
    <row r="1620" spans="1:7" x14ac:dyDescent="0.25">
      <c r="A1620" t="s">
        <v>18</v>
      </c>
      <c r="B1620" s="3">
        <v>45292</v>
      </c>
      <c r="C1620" s="9">
        <v>791.77</v>
      </c>
      <c r="D1620">
        <v>1412</v>
      </c>
      <c r="E1620" s="8">
        <v>1.7833461737625826</v>
      </c>
      <c r="F1620" s="7">
        <v>0.56074362606232298</v>
      </c>
      <c r="G1620">
        <v>2024</v>
      </c>
    </row>
    <row r="1621" spans="1:7" x14ac:dyDescent="0.25">
      <c r="A1621" t="s">
        <v>18</v>
      </c>
      <c r="B1621" s="3">
        <v>45323</v>
      </c>
      <c r="C1621" s="9">
        <v>832.8</v>
      </c>
      <c r="D1621">
        <v>1412</v>
      </c>
      <c r="E1621" s="8">
        <v>1.6954851104707014</v>
      </c>
      <c r="F1621" s="7">
        <v>0.58980169971671381</v>
      </c>
      <c r="G1621">
        <v>2024</v>
      </c>
    </row>
    <row r="1622" spans="1:7" x14ac:dyDescent="0.25">
      <c r="A1622" t="s">
        <v>18</v>
      </c>
      <c r="B1622" s="3">
        <v>45352</v>
      </c>
      <c r="C1622" s="9">
        <v>812.25</v>
      </c>
      <c r="D1622">
        <v>1412</v>
      </c>
      <c r="E1622" s="8">
        <v>1.7383810403200985</v>
      </c>
      <c r="F1622" s="7">
        <v>0.5752478753541076</v>
      </c>
      <c r="G1622">
        <v>2024</v>
      </c>
    </row>
    <row r="1623" spans="1:7" x14ac:dyDescent="0.25">
      <c r="A1623" t="s">
        <v>18</v>
      </c>
      <c r="B1623" s="3">
        <v>45383</v>
      </c>
      <c r="C1623" s="9">
        <v>801.15</v>
      </c>
      <c r="D1623">
        <v>1412</v>
      </c>
      <c r="E1623" s="8">
        <v>1.762466454471697</v>
      </c>
      <c r="F1623" s="7">
        <v>0.5673866855524079</v>
      </c>
      <c r="G1623">
        <v>2024</v>
      </c>
    </row>
    <row r="1624" spans="1:7" x14ac:dyDescent="0.25">
      <c r="A1624" t="s">
        <v>18</v>
      </c>
      <c r="B1624" s="3">
        <v>45413</v>
      </c>
      <c r="C1624" s="9">
        <v>796.67</v>
      </c>
      <c r="D1624">
        <v>1412</v>
      </c>
      <c r="E1624" s="8">
        <v>1.7723775214329649</v>
      </c>
      <c r="F1624" s="7">
        <v>0.56421388101983005</v>
      </c>
      <c r="G1624">
        <v>2024</v>
      </c>
    </row>
    <row r="1625" spans="1:7" x14ac:dyDescent="0.25">
      <c r="A1625" t="s">
        <v>18</v>
      </c>
      <c r="B1625" s="3">
        <v>45444</v>
      </c>
      <c r="C1625" s="9">
        <v>814.38</v>
      </c>
      <c r="D1625">
        <v>1412</v>
      </c>
      <c r="E1625" s="8">
        <v>1.7338343279550088</v>
      </c>
      <c r="F1625" s="7">
        <v>0.57675637393767709</v>
      </c>
      <c r="G1625">
        <v>2024</v>
      </c>
    </row>
    <row r="1626" spans="1:7" x14ac:dyDescent="0.25">
      <c r="A1626" t="s">
        <v>18</v>
      </c>
      <c r="B1626" s="3">
        <v>45474</v>
      </c>
      <c r="C1626" s="9">
        <v>757.64</v>
      </c>
      <c r="D1626">
        <v>1412</v>
      </c>
      <c r="E1626" s="8">
        <v>1.8636819597698115</v>
      </c>
      <c r="F1626" s="7">
        <v>0.53657223796033993</v>
      </c>
      <c r="G1626">
        <v>2024</v>
      </c>
    </row>
    <row r="1627" spans="1:7" x14ac:dyDescent="0.25">
      <c r="A1627" t="s">
        <v>18</v>
      </c>
      <c r="B1627" s="3">
        <v>45505</v>
      </c>
      <c r="C1627" s="9">
        <v>745.64</v>
      </c>
      <c r="D1627">
        <v>1412</v>
      </c>
      <c r="E1627" s="8">
        <v>1.8936752320154497</v>
      </c>
      <c r="F1627" s="7">
        <v>0.52807365439093479</v>
      </c>
      <c r="G1627">
        <v>2024</v>
      </c>
    </row>
    <row r="1628" spans="1:7" x14ac:dyDescent="0.25">
      <c r="A1628" t="s">
        <v>18</v>
      </c>
      <c r="B1628" s="3">
        <v>45536</v>
      </c>
      <c r="C1628" s="9">
        <v>757.3</v>
      </c>
      <c r="D1628">
        <v>1412</v>
      </c>
      <c r="E1628" s="8">
        <v>1.8645186848012678</v>
      </c>
      <c r="F1628" s="7">
        <v>0.5363314447592068</v>
      </c>
      <c r="G1628">
        <v>2024</v>
      </c>
    </row>
    <row r="1629" spans="1:7" x14ac:dyDescent="0.25">
      <c r="A1629" t="s">
        <v>18</v>
      </c>
      <c r="B1629" s="3">
        <v>45566</v>
      </c>
      <c r="C1629" s="9">
        <v>773.7</v>
      </c>
      <c r="D1629">
        <v>1412</v>
      </c>
      <c r="E1629" s="8">
        <v>1.8249967687734263</v>
      </c>
      <c r="F1629" s="7">
        <v>0.54794617563739378</v>
      </c>
      <c r="G1629">
        <v>2024</v>
      </c>
    </row>
    <row r="1630" spans="1:7" x14ac:dyDescent="0.25">
      <c r="A1630" t="s">
        <v>18</v>
      </c>
      <c r="B1630" s="3">
        <v>45597</v>
      </c>
      <c r="C1630" s="9">
        <v>777.66</v>
      </c>
      <c r="D1630">
        <v>1412</v>
      </c>
      <c r="E1630" s="8">
        <v>1.815703520818867</v>
      </c>
      <c r="F1630" s="7">
        <v>0.55075070821529748</v>
      </c>
      <c r="G1630">
        <v>2024</v>
      </c>
    </row>
    <row r="1631" spans="1:7" x14ac:dyDescent="0.25">
      <c r="A1631" t="s">
        <v>18</v>
      </c>
      <c r="B1631" s="3">
        <v>45627</v>
      </c>
      <c r="C1631" s="9">
        <v>779.84</v>
      </c>
      <c r="D1631">
        <v>1412</v>
      </c>
      <c r="E1631" s="8">
        <v>1.8106278210915059</v>
      </c>
      <c r="F1631" s="7">
        <v>0.55229461756373943</v>
      </c>
      <c r="G1631">
        <v>2024</v>
      </c>
    </row>
    <row r="1632" spans="1:7" x14ac:dyDescent="0.25">
      <c r="A1632" t="s">
        <v>18</v>
      </c>
      <c r="B1632" s="3">
        <v>45658</v>
      </c>
      <c r="C1632" s="9">
        <v>802.88</v>
      </c>
      <c r="D1632">
        <v>1518</v>
      </c>
      <c r="E1632" s="8">
        <v>1.8906935033878038</v>
      </c>
      <c r="F1632" s="7">
        <v>0.52890645586297758</v>
      </c>
      <c r="G1632">
        <v>2025</v>
      </c>
    </row>
    <row r="1633" spans="1:7" x14ac:dyDescent="0.25">
      <c r="A1633" t="s">
        <v>18</v>
      </c>
      <c r="B1633" s="3">
        <v>45689</v>
      </c>
      <c r="C1633" s="9">
        <v>814.9</v>
      </c>
      <c r="D1633">
        <v>1518</v>
      </c>
      <c r="E1633" s="8">
        <v>1.8628052521781815</v>
      </c>
      <c r="F1633" s="7">
        <v>0.53682476943346502</v>
      </c>
      <c r="G1633">
        <v>2025</v>
      </c>
    </row>
    <row r="1634" spans="1:7" x14ac:dyDescent="0.25">
      <c r="A1634" t="s">
        <v>18</v>
      </c>
      <c r="B1634" s="3">
        <v>45717</v>
      </c>
      <c r="C1634" s="9">
        <v>835.5</v>
      </c>
      <c r="D1634">
        <v>1518</v>
      </c>
      <c r="E1634" s="8">
        <v>1.8168761220825853</v>
      </c>
      <c r="F1634" s="7">
        <v>0.55039525691699609</v>
      </c>
      <c r="G1634">
        <v>2025</v>
      </c>
    </row>
    <row r="1635" spans="1:7" x14ac:dyDescent="0.25">
      <c r="A1635" t="s">
        <v>18</v>
      </c>
      <c r="B1635" s="3">
        <v>45748</v>
      </c>
      <c r="C1635" s="9">
        <v>849.7</v>
      </c>
      <c r="D1635">
        <v>1518</v>
      </c>
      <c r="E1635" s="8">
        <v>1.7865128869012592</v>
      </c>
      <c r="F1635" s="7">
        <v>0.55974967061923586</v>
      </c>
      <c r="G1635">
        <v>2025</v>
      </c>
    </row>
    <row r="1636" spans="1:7" x14ac:dyDescent="0.25">
      <c r="A1636" t="s">
        <v>18</v>
      </c>
      <c r="B1636" s="3">
        <v>45778</v>
      </c>
      <c r="C1636" s="9">
        <v>847.99</v>
      </c>
      <c r="D1636">
        <v>1518</v>
      </c>
      <c r="E1636" s="8">
        <v>1.7901154494746401</v>
      </c>
      <c r="F1636" s="7">
        <v>0.55862318840579706</v>
      </c>
      <c r="G1636">
        <v>2025</v>
      </c>
    </row>
    <row r="1637" spans="1:7" x14ac:dyDescent="0.25">
      <c r="A1637" t="s">
        <v>18</v>
      </c>
      <c r="B1637" s="3">
        <v>45809</v>
      </c>
      <c r="C1637" s="9">
        <v>843.27</v>
      </c>
      <c r="D1637">
        <v>1518</v>
      </c>
      <c r="E1637" s="8">
        <v>1.8001351880180725</v>
      </c>
      <c r="F1637" s="7">
        <v>0.55551383399209486</v>
      </c>
      <c r="G1637">
        <v>2025</v>
      </c>
    </row>
    <row r="1638" spans="1:7" x14ac:dyDescent="0.25">
      <c r="A1638" t="s">
        <v>19</v>
      </c>
      <c r="B1638" s="3">
        <v>42005</v>
      </c>
      <c r="C1638" s="9">
        <v>299.17</v>
      </c>
      <c r="D1638">
        <v>788</v>
      </c>
      <c r="E1638" s="8">
        <v>2.6339539392318749</v>
      </c>
      <c r="F1638" s="7">
        <v>0.37965736040609138</v>
      </c>
      <c r="G1638">
        <v>2015</v>
      </c>
    </row>
    <row r="1639" spans="1:7" x14ac:dyDescent="0.25">
      <c r="A1639" t="s">
        <v>19</v>
      </c>
      <c r="B1639" s="3">
        <v>42036</v>
      </c>
      <c r="C1639" s="9">
        <v>311.64999999999998</v>
      </c>
      <c r="D1639">
        <v>788</v>
      </c>
      <c r="E1639" s="8">
        <v>2.5284774586876306</v>
      </c>
      <c r="F1639" s="7">
        <v>0.395494923857868</v>
      </c>
      <c r="G1639">
        <v>2015</v>
      </c>
    </row>
    <row r="1640" spans="1:7" x14ac:dyDescent="0.25">
      <c r="A1640" t="s">
        <v>19</v>
      </c>
      <c r="B1640" s="3">
        <v>42064</v>
      </c>
      <c r="C1640" s="9">
        <v>302.97000000000003</v>
      </c>
      <c r="D1640">
        <v>788</v>
      </c>
      <c r="E1640" s="8">
        <v>2.600917582598937</v>
      </c>
      <c r="F1640" s="7">
        <v>0.38447969543147209</v>
      </c>
      <c r="G1640">
        <v>2015</v>
      </c>
    </row>
    <row r="1641" spans="1:7" x14ac:dyDescent="0.25">
      <c r="A1641" t="s">
        <v>19</v>
      </c>
      <c r="B1641" s="3">
        <v>42095</v>
      </c>
      <c r="C1641" s="9">
        <v>314.44</v>
      </c>
      <c r="D1641">
        <v>788</v>
      </c>
      <c r="E1641" s="8">
        <v>2.5060424882330494</v>
      </c>
      <c r="F1641" s="7">
        <v>0.39903553299492384</v>
      </c>
      <c r="G1641">
        <v>2015</v>
      </c>
    </row>
    <row r="1642" spans="1:7" x14ac:dyDescent="0.25">
      <c r="A1642" t="s">
        <v>19</v>
      </c>
      <c r="B1642" s="3">
        <v>42125</v>
      </c>
      <c r="C1642" s="9">
        <v>348.04</v>
      </c>
      <c r="D1642">
        <v>788</v>
      </c>
      <c r="E1642" s="8">
        <v>2.2641075738420868</v>
      </c>
      <c r="F1642" s="7">
        <v>0.44167512690355332</v>
      </c>
      <c r="G1642">
        <v>2015</v>
      </c>
    </row>
    <row r="1643" spans="1:7" x14ac:dyDescent="0.25">
      <c r="A1643" t="s">
        <v>19</v>
      </c>
      <c r="B1643" s="3">
        <v>42156</v>
      </c>
      <c r="C1643" s="9">
        <v>320.02999999999997</v>
      </c>
      <c r="D1643">
        <v>788</v>
      </c>
      <c r="E1643" s="8">
        <v>2.462269162266038</v>
      </c>
      <c r="F1643" s="7">
        <v>0.40612944162436543</v>
      </c>
      <c r="G1643">
        <v>2015</v>
      </c>
    </row>
    <row r="1644" spans="1:7" x14ac:dyDescent="0.25">
      <c r="A1644" t="s">
        <v>19</v>
      </c>
      <c r="B1644" s="3">
        <v>42186</v>
      </c>
      <c r="C1644" s="9">
        <v>317.89999999999998</v>
      </c>
      <c r="D1644">
        <v>788</v>
      </c>
      <c r="E1644" s="8">
        <v>2.478766907832652</v>
      </c>
      <c r="F1644" s="7">
        <v>0.40342639593908625</v>
      </c>
      <c r="G1644">
        <v>2015</v>
      </c>
    </row>
    <row r="1645" spans="1:7" x14ac:dyDescent="0.25">
      <c r="A1645" t="s">
        <v>19</v>
      </c>
      <c r="B1645" s="3">
        <v>42217</v>
      </c>
      <c r="C1645" s="9">
        <v>305.11</v>
      </c>
      <c r="D1645">
        <v>788</v>
      </c>
      <c r="E1645" s="8">
        <v>2.582675100783324</v>
      </c>
      <c r="F1645" s="7">
        <v>0.38719543147208124</v>
      </c>
      <c r="G1645">
        <v>2015</v>
      </c>
    </row>
    <row r="1646" spans="1:7" x14ac:dyDescent="0.25">
      <c r="A1646" t="s">
        <v>19</v>
      </c>
      <c r="B1646" s="3">
        <v>42248</v>
      </c>
      <c r="C1646" s="9">
        <v>297.07</v>
      </c>
      <c r="D1646">
        <v>788</v>
      </c>
      <c r="E1646" s="8">
        <v>2.6525734675329047</v>
      </c>
      <c r="F1646" s="7">
        <v>0.376992385786802</v>
      </c>
      <c r="G1646">
        <v>2015</v>
      </c>
    </row>
    <row r="1647" spans="1:7" x14ac:dyDescent="0.25">
      <c r="A1647" t="s">
        <v>19</v>
      </c>
      <c r="B1647" s="3">
        <v>42278</v>
      </c>
      <c r="C1647" s="9">
        <v>297.83</v>
      </c>
      <c r="D1647">
        <v>788</v>
      </c>
      <c r="E1647" s="8">
        <v>2.645804653661485</v>
      </c>
      <c r="F1647" s="7">
        <v>0.37795685279187813</v>
      </c>
      <c r="G1647">
        <v>2015</v>
      </c>
    </row>
    <row r="1648" spans="1:7" x14ac:dyDescent="0.25">
      <c r="A1648" t="s">
        <v>19</v>
      </c>
      <c r="B1648" s="3">
        <v>42309</v>
      </c>
      <c r="C1648" s="9">
        <v>323.23</v>
      </c>
      <c r="D1648">
        <v>788</v>
      </c>
      <c r="E1648" s="8">
        <v>2.4378925223525041</v>
      </c>
      <c r="F1648" s="7">
        <v>0.41019035532994924</v>
      </c>
      <c r="G1648">
        <v>2015</v>
      </c>
    </row>
    <row r="1649" spans="1:7" x14ac:dyDescent="0.25">
      <c r="A1649" t="s">
        <v>19</v>
      </c>
      <c r="B1649" s="3">
        <v>42339</v>
      </c>
      <c r="C1649" s="9">
        <v>331.2</v>
      </c>
      <c r="D1649">
        <v>788</v>
      </c>
      <c r="E1649" s="8">
        <v>2.3792270531400965</v>
      </c>
      <c r="F1649" s="7">
        <v>0.42030456852791875</v>
      </c>
      <c r="G1649">
        <v>2015</v>
      </c>
    </row>
    <row r="1650" spans="1:7" x14ac:dyDescent="0.25">
      <c r="A1650" t="s">
        <v>19</v>
      </c>
      <c r="B1650" s="3">
        <v>42370</v>
      </c>
      <c r="C1650" s="9">
        <v>349.26</v>
      </c>
      <c r="D1650">
        <v>880</v>
      </c>
      <c r="E1650" s="8">
        <v>2.5196128958369126</v>
      </c>
      <c r="F1650" s="7">
        <v>0.39688636363636365</v>
      </c>
      <c r="G1650">
        <v>2016</v>
      </c>
    </row>
    <row r="1651" spans="1:7" x14ac:dyDescent="0.25">
      <c r="A1651" t="s">
        <v>19</v>
      </c>
      <c r="B1651" s="3">
        <v>42401</v>
      </c>
      <c r="C1651" s="9">
        <v>337.84</v>
      </c>
      <c r="D1651">
        <v>880</v>
      </c>
      <c r="E1651" s="8">
        <v>2.604783329386692</v>
      </c>
      <c r="F1651" s="7">
        <v>0.38390909090909087</v>
      </c>
      <c r="G1651">
        <v>2016</v>
      </c>
    </row>
    <row r="1652" spans="1:7" x14ac:dyDescent="0.25">
      <c r="A1652" t="s">
        <v>19</v>
      </c>
      <c r="B1652" s="3">
        <v>42430</v>
      </c>
      <c r="C1652" s="9">
        <v>348.71</v>
      </c>
      <c r="D1652">
        <v>880</v>
      </c>
      <c r="E1652" s="8">
        <v>2.5235869347021884</v>
      </c>
      <c r="F1652" s="7">
        <v>0.39626136363636361</v>
      </c>
      <c r="G1652">
        <v>2016</v>
      </c>
    </row>
    <row r="1653" spans="1:7" x14ac:dyDescent="0.25">
      <c r="A1653" t="s">
        <v>19</v>
      </c>
      <c r="B1653" s="3">
        <v>42461</v>
      </c>
      <c r="C1653" s="9">
        <v>344.29</v>
      </c>
      <c r="D1653">
        <v>880</v>
      </c>
      <c r="E1653" s="8">
        <v>2.5559847802724445</v>
      </c>
      <c r="F1653" s="7">
        <v>0.39123863636363637</v>
      </c>
      <c r="G1653">
        <v>2016</v>
      </c>
    </row>
    <row r="1654" spans="1:7" x14ac:dyDescent="0.25">
      <c r="A1654" t="s">
        <v>19</v>
      </c>
      <c r="B1654" s="3">
        <v>42491</v>
      </c>
      <c r="C1654" s="9">
        <v>354.12</v>
      </c>
      <c r="D1654">
        <v>880</v>
      </c>
      <c r="E1654" s="8">
        <v>2.4850333220377272</v>
      </c>
      <c r="F1654" s="7">
        <v>0.40240909090909094</v>
      </c>
      <c r="G1654">
        <v>2016</v>
      </c>
    </row>
    <row r="1655" spans="1:7" x14ac:dyDescent="0.25">
      <c r="A1655" t="s">
        <v>19</v>
      </c>
      <c r="B1655" s="3">
        <v>42522</v>
      </c>
      <c r="C1655" s="9">
        <v>365.77</v>
      </c>
      <c r="D1655">
        <v>880</v>
      </c>
      <c r="E1655" s="8">
        <v>2.4058834786887937</v>
      </c>
      <c r="F1655" s="7">
        <v>0.41564772727272725</v>
      </c>
      <c r="G1655">
        <v>2016</v>
      </c>
    </row>
    <row r="1656" spans="1:7" x14ac:dyDescent="0.25">
      <c r="A1656" t="s">
        <v>19</v>
      </c>
      <c r="B1656" s="3">
        <v>42552</v>
      </c>
      <c r="C1656" s="9">
        <v>380.03</v>
      </c>
      <c r="D1656">
        <v>880</v>
      </c>
      <c r="E1656" s="8">
        <v>2.3156066626318976</v>
      </c>
      <c r="F1656" s="7">
        <v>0.43185227272727272</v>
      </c>
      <c r="G1656">
        <v>2016</v>
      </c>
    </row>
    <row r="1657" spans="1:7" x14ac:dyDescent="0.25">
      <c r="A1657" t="s">
        <v>19</v>
      </c>
      <c r="B1657" s="3">
        <v>42583</v>
      </c>
      <c r="C1657" s="9">
        <v>376.45</v>
      </c>
      <c r="D1657">
        <v>880</v>
      </c>
      <c r="E1657" s="8">
        <v>2.3376278390224465</v>
      </c>
      <c r="F1657" s="7">
        <v>0.42778409090909092</v>
      </c>
      <c r="G1657">
        <v>2016</v>
      </c>
    </row>
    <row r="1658" spans="1:7" x14ac:dyDescent="0.25">
      <c r="A1658" t="s">
        <v>19</v>
      </c>
      <c r="B1658" s="3">
        <v>42614</v>
      </c>
      <c r="C1658" s="9">
        <v>381.93</v>
      </c>
      <c r="D1658">
        <v>880</v>
      </c>
      <c r="E1658" s="8">
        <v>2.304087136386249</v>
      </c>
      <c r="F1658" s="7">
        <v>0.43401136363636367</v>
      </c>
      <c r="G1658">
        <v>2016</v>
      </c>
    </row>
    <row r="1659" spans="1:7" x14ac:dyDescent="0.25">
      <c r="A1659" t="s">
        <v>19</v>
      </c>
      <c r="B1659" s="3">
        <v>42644</v>
      </c>
      <c r="C1659" s="9">
        <v>375.6</v>
      </c>
      <c r="D1659">
        <v>880</v>
      </c>
      <c r="E1659" s="8">
        <v>2.3429179978700745</v>
      </c>
      <c r="F1659" s="7">
        <v>0.42681818181818182</v>
      </c>
      <c r="G1659">
        <v>2016</v>
      </c>
    </row>
    <row r="1660" spans="1:7" x14ac:dyDescent="0.25">
      <c r="A1660" t="s">
        <v>19</v>
      </c>
      <c r="B1660" s="3">
        <v>42675</v>
      </c>
      <c r="C1660" s="9">
        <v>358.77</v>
      </c>
      <c r="D1660">
        <v>880</v>
      </c>
      <c r="E1660" s="8">
        <v>2.4528249296206486</v>
      </c>
      <c r="F1660" s="7">
        <v>0.40769318181818182</v>
      </c>
      <c r="G1660">
        <v>2016</v>
      </c>
    </row>
    <row r="1661" spans="1:7" x14ac:dyDescent="0.25">
      <c r="A1661" t="s">
        <v>19</v>
      </c>
      <c r="B1661" s="3">
        <v>42705</v>
      </c>
      <c r="C1661" s="9">
        <v>355.15</v>
      </c>
      <c r="D1661">
        <v>880</v>
      </c>
      <c r="E1661" s="8">
        <v>2.4778262705898917</v>
      </c>
      <c r="F1661" s="7">
        <v>0.40357954545454544</v>
      </c>
      <c r="G1661">
        <v>2016</v>
      </c>
    </row>
    <row r="1662" spans="1:7" x14ac:dyDescent="0.25">
      <c r="A1662" t="s">
        <v>19</v>
      </c>
      <c r="B1662" s="3">
        <v>42736</v>
      </c>
      <c r="C1662" s="9">
        <v>359.75</v>
      </c>
      <c r="D1662">
        <v>937</v>
      </c>
      <c r="E1662" s="8">
        <v>2.6045865184155663</v>
      </c>
      <c r="F1662" s="7">
        <v>0.38393810032017078</v>
      </c>
      <c r="G1662">
        <v>2017</v>
      </c>
    </row>
    <row r="1663" spans="1:7" x14ac:dyDescent="0.25">
      <c r="A1663" t="s">
        <v>19</v>
      </c>
      <c r="B1663" s="3">
        <v>42767</v>
      </c>
      <c r="C1663" s="9">
        <v>349.4</v>
      </c>
      <c r="D1663">
        <v>937</v>
      </c>
      <c r="E1663" s="8">
        <v>2.6817401259301663</v>
      </c>
      <c r="F1663" s="7">
        <v>0.37289220917822835</v>
      </c>
      <c r="G1663">
        <v>2017</v>
      </c>
    </row>
    <row r="1664" spans="1:7" x14ac:dyDescent="0.25">
      <c r="A1664" t="s">
        <v>19</v>
      </c>
      <c r="B1664" s="3">
        <v>42795</v>
      </c>
      <c r="C1664" s="9">
        <v>349.66</v>
      </c>
      <c r="D1664">
        <v>937</v>
      </c>
      <c r="E1664" s="8">
        <v>2.6797460390093231</v>
      </c>
      <c r="F1664" s="7">
        <v>0.37316969050160087</v>
      </c>
      <c r="G1664">
        <v>2017</v>
      </c>
    </row>
    <row r="1665" spans="1:7" x14ac:dyDescent="0.25">
      <c r="A1665" t="s">
        <v>19</v>
      </c>
      <c r="B1665" s="3">
        <v>42826</v>
      </c>
      <c r="C1665" s="9">
        <v>366.63</v>
      </c>
      <c r="D1665">
        <v>937</v>
      </c>
      <c r="E1665" s="8">
        <v>2.5557101164661922</v>
      </c>
      <c r="F1665" s="7">
        <v>0.39128068303094982</v>
      </c>
      <c r="G1665">
        <v>2017</v>
      </c>
    </row>
    <row r="1666" spans="1:7" x14ac:dyDescent="0.25">
      <c r="A1666" t="s">
        <v>19</v>
      </c>
      <c r="B1666" s="3">
        <v>42856</v>
      </c>
      <c r="C1666" s="9">
        <v>351.31</v>
      </c>
      <c r="D1666">
        <v>937</v>
      </c>
      <c r="E1666" s="8">
        <v>2.6671600580683728</v>
      </c>
      <c r="F1666" s="7">
        <v>0.37493062966915691</v>
      </c>
      <c r="G1666">
        <v>2017</v>
      </c>
    </row>
    <row r="1667" spans="1:7" x14ac:dyDescent="0.25">
      <c r="A1667" t="s">
        <v>19</v>
      </c>
      <c r="B1667" s="3">
        <v>42887</v>
      </c>
      <c r="C1667" s="9">
        <v>350.22</v>
      </c>
      <c r="D1667">
        <v>937</v>
      </c>
      <c r="E1667" s="8">
        <v>2.6754611387128087</v>
      </c>
      <c r="F1667" s="7">
        <v>0.37376734258271083</v>
      </c>
      <c r="G1667">
        <v>2017</v>
      </c>
    </row>
    <row r="1668" spans="1:7" x14ac:dyDescent="0.25">
      <c r="A1668" t="s">
        <v>19</v>
      </c>
      <c r="B1668" s="3">
        <v>42917</v>
      </c>
      <c r="C1668" s="9">
        <v>357.28</v>
      </c>
      <c r="D1668">
        <v>937</v>
      </c>
      <c r="E1668" s="8">
        <v>2.6225929243170625</v>
      </c>
      <c r="F1668" s="7">
        <v>0.38130202774813232</v>
      </c>
      <c r="G1668">
        <v>2017</v>
      </c>
    </row>
    <row r="1669" spans="1:7" x14ac:dyDescent="0.25">
      <c r="A1669" t="s">
        <v>19</v>
      </c>
      <c r="B1669" s="3">
        <v>42948</v>
      </c>
      <c r="C1669" s="9">
        <v>332.1</v>
      </c>
      <c r="D1669">
        <v>937</v>
      </c>
      <c r="E1669" s="8">
        <v>2.8214393255043659</v>
      </c>
      <c r="F1669" s="7">
        <v>0.3544290288153682</v>
      </c>
      <c r="G1669">
        <v>2017</v>
      </c>
    </row>
    <row r="1670" spans="1:7" x14ac:dyDescent="0.25">
      <c r="A1670" t="s">
        <v>19</v>
      </c>
      <c r="B1670" s="3">
        <v>42979</v>
      </c>
      <c r="C1670" s="9">
        <v>318.52</v>
      </c>
      <c r="D1670">
        <v>937</v>
      </c>
      <c r="E1670" s="8">
        <v>2.9417305035790533</v>
      </c>
      <c r="F1670" s="7">
        <v>0.33993596584845248</v>
      </c>
      <c r="G1670">
        <v>2017</v>
      </c>
    </row>
    <row r="1671" spans="1:7" x14ac:dyDescent="0.25">
      <c r="A1671" t="s">
        <v>19</v>
      </c>
      <c r="B1671" s="3">
        <v>43009</v>
      </c>
      <c r="C1671" s="9">
        <v>318.31</v>
      </c>
      <c r="D1671">
        <v>937</v>
      </c>
      <c r="E1671" s="8">
        <v>2.9436712638622726</v>
      </c>
      <c r="F1671" s="7">
        <v>0.3397118463180363</v>
      </c>
      <c r="G1671">
        <v>2017</v>
      </c>
    </row>
    <row r="1672" spans="1:7" x14ac:dyDescent="0.25">
      <c r="A1672" t="s">
        <v>19</v>
      </c>
      <c r="B1672" s="3">
        <v>43040</v>
      </c>
      <c r="C1672" s="9">
        <v>315.98</v>
      </c>
      <c r="D1672">
        <v>937</v>
      </c>
      <c r="E1672" s="8">
        <v>2.9653775555414899</v>
      </c>
      <c r="F1672" s="7">
        <v>0.33722518676627539</v>
      </c>
      <c r="G1672">
        <v>2017</v>
      </c>
    </row>
    <row r="1673" spans="1:7" x14ac:dyDescent="0.25">
      <c r="A1673" t="s">
        <v>19</v>
      </c>
      <c r="B1673" s="3">
        <v>43070</v>
      </c>
      <c r="C1673" s="9">
        <v>316.64999999999998</v>
      </c>
      <c r="D1673">
        <v>937</v>
      </c>
      <c r="E1673" s="8">
        <v>2.9591031106900365</v>
      </c>
      <c r="F1673" s="7">
        <v>0.337940234791889</v>
      </c>
      <c r="G1673">
        <v>2017</v>
      </c>
    </row>
    <row r="1674" spans="1:7" x14ac:dyDescent="0.25">
      <c r="A1674" t="s">
        <v>19</v>
      </c>
      <c r="B1674" s="3">
        <v>43101</v>
      </c>
      <c r="C1674" s="9">
        <v>333.98</v>
      </c>
      <c r="D1674">
        <v>954</v>
      </c>
      <c r="E1674" s="8">
        <v>2.8564584705670995</v>
      </c>
      <c r="F1674" s="7">
        <v>0.35008385744234805</v>
      </c>
      <c r="G1674">
        <v>2018</v>
      </c>
    </row>
    <row r="1675" spans="1:7" x14ac:dyDescent="0.25">
      <c r="A1675" t="s">
        <v>19</v>
      </c>
      <c r="B1675" s="3">
        <v>43132</v>
      </c>
      <c r="C1675" s="9">
        <v>336.59</v>
      </c>
      <c r="D1675">
        <v>954</v>
      </c>
      <c r="E1675" s="8">
        <v>2.8343088029947414</v>
      </c>
      <c r="F1675" s="7">
        <v>0.35281970649895178</v>
      </c>
      <c r="G1675">
        <v>2018</v>
      </c>
    </row>
    <row r="1676" spans="1:7" x14ac:dyDescent="0.25">
      <c r="A1676" t="s">
        <v>19</v>
      </c>
      <c r="B1676" s="3">
        <v>43160</v>
      </c>
      <c r="C1676" s="9">
        <v>322.86</v>
      </c>
      <c r="D1676">
        <v>954</v>
      </c>
      <c r="E1676" s="8">
        <v>2.9548411076008176</v>
      </c>
      <c r="F1676" s="7">
        <v>0.33842767295597487</v>
      </c>
      <c r="G1676">
        <v>2018</v>
      </c>
    </row>
    <row r="1677" spans="1:7" x14ac:dyDescent="0.25">
      <c r="A1677" t="s">
        <v>19</v>
      </c>
      <c r="B1677" s="3">
        <v>43191</v>
      </c>
      <c r="C1677" s="9">
        <v>325.42</v>
      </c>
      <c r="D1677">
        <v>954</v>
      </c>
      <c r="E1677" s="8">
        <v>2.9315960912052117</v>
      </c>
      <c r="F1677" s="7">
        <v>0.34111111111111114</v>
      </c>
      <c r="G1677">
        <v>2018</v>
      </c>
    </row>
    <row r="1678" spans="1:7" x14ac:dyDescent="0.25">
      <c r="A1678" t="s">
        <v>19</v>
      </c>
      <c r="B1678" s="3">
        <v>43221</v>
      </c>
      <c r="C1678" s="9">
        <v>327.56</v>
      </c>
      <c r="D1678">
        <v>954</v>
      </c>
      <c r="E1678" s="8">
        <v>2.9124435217975333</v>
      </c>
      <c r="F1678" s="7">
        <v>0.34335429769392034</v>
      </c>
      <c r="G1678">
        <v>2018</v>
      </c>
    </row>
    <row r="1679" spans="1:7" x14ac:dyDescent="0.25">
      <c r="A1679" t="s">
        <v>19</v>
      </c>
      <c r="B1679" s="3">
        <v>43252</v>
      </c>
      <c r="C1679" s="9">
        <v>333</v>
      </c>
      <c r="D1679">
        <v>954</v>
      </c>
      <c r="E1679" s="8">
        <v>2.8648648648648649</v>
      </c>
      <c r="F1679" s="7">
        <v>0.34905660377358488</v>
      </c>
      <c r="G1679">
        <v>2018</v>
      </c>
    </row>
    <row r="1680" spans="1:7" x14ac:dyDescent="0.25">
      <c r="A1680" t="s">
        <v>19</v>
      </c>
      <c r="B1680" s="3">
        <v>43282</v>
      </c>
      <c r="C1680" s="9">
        <v>321.62</v>
      </c>
      <c r="D1680">
        <v>954</v>
      </c>
      <c r="E1680" s="8">
        <v>2.9662334431938313</v>
      </c>
      <c r="F1680" s="7">
        <v>0.33712788259958071</v>
      </c>
      <c r="G1680">
        <v>2018</v>
      </c>
    </row>
    <row r="1681" spans="1:7" x14ac:dyDescent="0.25">
      <c r="A1681" t="s">
        <v>19</v>
      </c>
      <c r="B1681" s="3">
        <v>43313</v>
      </c>
      <c r="C1681" s="9">
        <v>311.92</v>
      </c>
      <c r="D1681">
        <v>954</v>
      </c>
      <c r="E1681" s="8">
        <v>3.0584765324442165</v>
      </c>
      <c r="F1681" s="7">
        <v>0.32696016771488473</v>
      </c>
      <c r="G1681">
        <v>2018</v>
      </c>
    </row>
    <row r="1682" spans="1:7" x14ac:dyDescent="0.25">
      <c r="A1682" t="s">
        <v>19</v>
      </c>
      <c r="B1682" s="3">
        <v>43344</v>
      </c>
      <c r="C1682" s="9">
        <v>315.86</v>
      </c>
      <c r="D1682">
        <v>954</v>
      </c>
      <c r="E1682" s="8">
        <v>3.0203254606471219</v>
      </c>
      <c r="F1682" s="7">
        <v>0.33109014675052412</v>
      </c>
      <c r="G1682">
        <v>2018</v>
      </c>
    </row>
    <row r="1683" spans="1:7" x14ac:dyDescent="0.25">
      <c r="A1683" t="s">
        <v>19</v>
      </c>
      <c r="B1683" s="3">
        <v>43374</v>
      </c>
      <c r="C1683" s="9">
        <v>331.02</v>
      </c>
      <c r="D1683">
        <v>954</v>
      </c>
      <c r="E1683" s="8">
        <v>2.8820010875475806</v>
      </c>
      <c r="F1683" s="7">
        <v>0.34698113207547165</v>
      </c>
      <c r="G1683">
        <v>2018</v>
      </c>
    </row>
    <row r="1684" spans="1:7" x14ac:dyDescent="0.25">
      <c r="A1684" t="s">
        <v>19</v>
      </c>
      <c r="B1684" s="3">
        <v>43405</v>
      </c>
      <c r="C1684" s="9">
        <v>330.17</v>
      </c>
      <c r="D1684">
        <v>954</v>
      </c>
      <c r="E1684" s="8">
        <v>2.8894206015083137</v>
      </c>
      <c r="F1684" s="7">
        <v>0.34609014675052413</v>
      </c>
      <c r="G1684">
        <v>2018</v>
      </c>
    </row>
    <row r="1685" spans="1:7" x14ac:dyDescent="0.25">
      <c r="A1685" t="s">
        <v>19</v>
      </c>
      <c r="B1685" s="3">
        <v>43435</v>
      </c>
      <c r="C1685" s="9">
        <v>343.82</v>
      </c>
      <c r="D1685">
        <v>954</v>
      </c>
      <c r="E1685" s="8">
        <v>2.7747076958873831</v>
      </c>
      <c r="F1685" s="7">
        <v>0.36039832285115303</v>
      </c>
      <c r="G1685">
        <v>2018</v>
      </c>
    </row>
    <row r="1686" spans="1:7" x14ac:dyDescent="0.25">
      <c r="A1686" t="s">
        <v>19</v>
      </c>
      <c r="B1686" s="3">
        <v>43466</v>
      </c>
      <c r="C1686" s="9">
        <v>353.43</v>
      </c>
      <c r="D1686">
        <v>998</v>
      </c>
      <c r="E1686" s="8">
        <v>2.8237557649322356</v>
      </c>
      <c r="F1686" s="7">
        <v>0.3541382765531062</v>
      </c>
      <c r="G1686">
        <v>2019</v>
      </c>
    </row>
    <row r="1687" spans="1:7" x14ac:dyDescent="0.25">
      <c r="A1687" t="s">
        <v>19</v>
      </c>
      <c r="B1687" s="3">
        <v>43497</v>
      </c>
      <c r="C1687" s="9">
        <v>362.93</v>
      </c>
      <c r="D1687">
        <v>998</v>
      </c>
      <c r="E1687" s="8">
        <v>2.7498415672443723</v>
      </c>
      <c r="F1687" s="7">
        <v>0.36365731462925854</v>
      </c>
      <c r="G1687">
        <v>2019</v>
      </c>
    </row>
    <row r="1688" spans="1:7" x14ac:dyDescent="0.25">
      <c r="A1688" t="s">
        <v>19</v>
      </c>
      <c r="B1688" s="3">
        <v>43525</v>
      </c>
      <c r="C1688" s="9">
        <v>382.35</v>
      </c>
      <c r="D1688">
        <v>998</v>
      </c>
      <c r="E1688" s="8">
        <v>2.610173924414803</v>
      </c>
      <c r="F1688" s="7">
        <v>0.38311623246492987</v>
      </c>
      <c r="G1688">
        <v>2019</v>
      </c>
    </row>
    <row r="1689" spans="1:7" x14ac:dyDescent="0.25">
      <c r="A1689" t="s">
        <v>19</v>
      </c>
      <c r="B1689" s="3">
        <v>43556</v>
      </c>
      <c r="C1689" s="9">
        <v>396.75</v>
      </c>
      <c r="D1689">
        <v>998</v>
      </c>
      <c r="E1689" s="8">
        <v>2.5154379332073096</v>
      </c>
      <c r="F1689" s="7">
        <v>0.39754509018036072</v>
      </c>
      <c r="G1689">
        <v>2019</v>
      </c>
    </row>
    <row r="1690" spans="1:7" x14ac:dyDescent="0.25">
      <c r="A1690" t="s">
        <v>19</v>
      </c>
      <c r="B1690" s="3">
        <v>43586</v>
      </c>
      <c r="C1690" s="9">
        <v>392.97</v>
      </c>
      <c r="D1690">
        <v>998</v>
      </c>
      <c r="E1690" s="8">
        <v>2.5396340687584291</v>
      </c>
      <c r="F1690" s="7">
        <v>0.39375751503006012</v>
      </c>
      <c r="G1690">
        <v>2019</v>
      </c>
    </row>
    <row r="1691" spans="1:7" x14ac:dyDescent="0.25">
      <c r="A1691" t="s">
        <v>19</v>
      </c>
      <c r="B1691" s="3">
        <v>43617</v>
      </c>
      <c r="C1691" s="9">
        <v>384.76</v>
      </c>
      <c r="D1691">
        <v>998</v>
      </c>
      <c r="E1691" s="8">
        <v>2.5938247219045638</v>
      </c>
      <c r="F1691" s="7">
        <v>0.38553106212424848</v>
      </c>
      <c r="G1691">
        <v>2019</v>
      </c>
    </row>
    <row r="1692" spans="1:7" x14ac:dyDescent="0.25">
      <c r="A1692" t="s">
        <v>19</v>
      </c>
      <c r="B1692" s="3">
        <v>43647</v>
      </c>
      <c r="C1692" s="9">
        <v>372.25</v>
      </c>
      <c r="D1692">
        <v>998</v>
      </c>
      <c r="E1692" s="8">
        <v>2.6809939556749498</v>
      </c>
      <c r="F1692" s="7">
        <v>0.37299599198396793</v>
      </c>
      <c r="G1692">
        <v>2019</v>
      </c>
    </row>
    <row r="1693" spans="1:7" x14ac:dyDescent="0.25">
      <c r="A1693" t="s">
        <v>19</v>
      </c>
      <c r="B1693" s="3">
        <v>43678</v>
      </c>
      <c r="C1693" s="9">
        <v>350.75</v>
      </c>
      <c r="D1693">
        <v>998</v>
      </c>
      <c r="E1693" s="8">
        <v>2.8453314326443335</v>
      </c>
      <c r="F1693" s="7">
        <v>0.35145290581162325</v>
      </c>
      <c r="G1693">
        <v>2019</v>
      </c>
    </row>
    <row r="1694" spans="1:7" x14ac:dyDescent="0.25">
      <c r="A1694" t="s">
        <v>19</v>
      </c>
      <c r="B1694" s="3">
        <v>43709</v>
      </c>
      <c r="C1694" s="9">
        <v>345.04</v>
      </c>
      <c r="D1694">
        <v>998</v>
      </c>
      <c r="E1694" s="8">
        <v>2.8924182703454671</v>
      </c>
      <c r="F1694" s="7">
        <v>0.34573146292585172</v>
      </c>
      <c r="G1694">
        <v>2019</v>
      </c>
    </row>
    <row r="1695" spans="1:7" x14ac:dyDescent="0.25">
      <c r="A1695" t="s">
        <v>19</v>
      </c>
      <c r="B1695" s="3">
        <v>43739</v>
      </c>
      <c r="C1695" s="9">
        <v>347.65</v>
      </c>
      <c r="D1695">
        <v>998</v>
      </c>
      <c r="E1695" s="8">
        <v>2.870703293542356</v>
      </c>
      <c r="F1695" s="7">
        <v>0.34834669338677354</v>
      </c>
      <c r="G1695">
        <v>2019</v>
      </c>
    </row>
    <row r="1696" spans="1:7" x14ac:dyDescent="0.25">
      <c r="A1696" t="s">
        <v>19</v>
      </c>
      <c r="B1696" s="3">
        <v>43770</v>
      </c>
      <c r="C1696" s="9">
        <v>341.45</v>
      </c>
      <c r="D1696">
        <v>998</v>
      </c>
      <c r="E1696" s="8">
        <v>2.9228291111436522</v>
      </c>
      <c r="F1696" s="7">
        <v>0.34213426853707413</v>
      </c>
      <c r="G1696">
        <v>2019</v>
      </c>
    </row>
    <row r="1697" spans="1:7" x14ac:dyDescent="0.25">
      <c r="A1697" t="s">
        <v>19</v>
      </c>
      <c r="B1697" s="3">
        <v>43800</v>
      </c>
      <c r="C1697" s="9">
        <v>360.51</v>
      </c>
      <c r="D1697">
        <v>998</v>
      </c>
      <c r="E1697" s="8">
        <v>2.7683004632326429</v>
      </c>
      <c r="F1697" s="7">
        <v>0.36123246492985972</v>
      </c>
      <c r="G1697">
        <v>2019</v>
      </c>
    </row>
    <row r="1698" spans="1:7" x14ac:dyDescent="0.25">
      <c r="A1698" t="s">
        <v>19</v>
      </c>
      <c r="B1698" s="3">
        <v>43831</v>
      </c>
      <c r="C1698" s="9">
        <v>376.49</v>
      </c>
      <c r="D1698">
        <v>1039</v>
      </c>
      <c r="E1698" s="8">
        <v>2.7597014528938351</v>
      </c>
      <c r="F1698" s="7">
        <v>0.36235803657362847</v>
      </c>
      <c r="G1698">
        <v>2020</v>
      </c>
    </row>
    <row r="1699" spans="1:7" x14ac:dyDescent="0.25">
      <c r="A1699" t="s">
        <v>19</v>
      </c>
      <c r="B1699" s="3">
        <v>43862</v>
      </c>
      <c r="C1699" s="9">
        <v>395.49</v>
      </c>
      <c r="D1699">
        <v>1045</v>
      </c>
      <c r="E1699" s="8">
        <v>2.642291840501656</v>
      </c>
      <c r="F1699" s="7">
        <v>0.37845933014354066</v>
      </c>
      <c r="G1699">
        <v>2020</v>
      </c>
    </row>
    <row r="1700" spans="1:7" x14ac:dyDescent="0.25">
      <c r="A1700" t="s">
        <v>19</v>
      </c>
      <c r="B1700" s="3">
        <v>43891</v>
      </c>
      <c r="C1700" s="9">
        <v>408.06</v>
      </c>
      <c r="D1700">
        <v>1045</v>
      </c>
      <c r="E1700" s="8">
        <v>2.560897907170514</v>
      </c>
      <c r="F1700" s="7">
        <v>0.39048803827751194</v>
      </c>
      <c r="G1700">
        <v>2020</v>
      </c>
    </row>
    <row r="1701" spans="1:7" x14ac:dyDescent="0.25">
      <c r="A1701" t="s">
        <v>19</v>
      </c>
      <c r="B1701" s="3">
        <v>43922</v>
      </c>
      <c r="C1701" s="9">
        <v>425.12</v>
      </c>
      <c r="D1701">
        <v>1045</v>
      </c>
      <c r="E1701" s="8">
        <v>2.458129469326308</v>
      </c>
      <c r="F1701" s="7">
        <v>0.40681339712918663</v>
      </c>
      <c r="G1701">
        <v>2020</v>
      </c>
    </row>
    <row r="1702" spans="1:7" x14ac:dyDescent="0.25">
      <c r="A1702" t="s">
        <v>19</v>
      </c>
      <c r="B1702" s="3">
        <v>43952</v>
      </c>
      <c r="C1702" s="9">
        <v>410.33</v>
      </c>
      <c r="D1702">
        <v>1045</v>
      </c>
      <c r="E1702" s="8">
        <v>2.546730680184242</v>
      </c>
      <c r="F1702" s="7">
        <v>0.39266028708133971</v>
      </c>
      <c r="G1702">
        <v>2020</v>
      </c>
    </row>
    <row r="1703" spans="1:7" x14ac:dyDescent="0.25">
      <c r="A1703" t="s">
        <v>19</v>
      </c>
      <c r="B1703" s="3">
        <v>43983</v>
      </c>
      <c r="C1703" s="9">
        <v>419.18</v>
      </c>
      <c r="D1703">
        <v>1045</v>
      </c>
      <c r="E1703" s="8">
        <v>2.4929624504985926</v>
      </c>
      <c r="F1703" s="7">
        <v>0.40112918660287084</v>
      </c>
      <c r="G1703">
        <v>2020</v>
      </c>
    </row>
    <row r="1704" spans="1:7" x14ac:dyDescent="0.25">
      <c r="A1704" t="s">
        <v>19</v>
      </c>
      <c r="B1704" s="3">
        <v>44013</v>
      </c>
      <c r="C1704" s="9">
        <v>415.22</v>
      </c>
      <c r="D1704">
        <v>1045</v>
      </c>
      <c r="E1704" s="8">
        <v>2.5167381147343577</v>
      </c>
      <c r="F1704" s="7">
        <v>0.39733971291866033</v>
      </c>
      <c r="G1704">
        <v>2020</v>
      </c>
    </row>
    <row r="1705" spans="1:7" x14ac:dyDescent="0.25">
      <c r="A1705" t="s">
        <v>19</v>
      </c>
      <c r="B1705" s="3">
        <v>44044</v>
      </c>
      <c r="C1705" s="9">
        <v>418.72</v>
      </c>
      <c r="D1705">
        <v>1045</v>
      </c>
      <c r="E1705" s="8">
        <v>2.4957011845624759</v>
      </c>
      <c r="F1705" s="7">
        <v>0.40068899521531104</v>
      </c>
      <c r="G1705">
        <v>2020</v>
      </c>
    </row>
    <row r="1706" spans="1:7" x14ac:dyDescent="0.25">
      <c r="A1706" t="s">
        <v>19</v>
      </c>
      <c r="B1706" s="3">
        <v>44075</v>
      </c>
      <c r="C1706" s="9">
        <v>459.33</v>
      </c>
      <c r="D1706">
        <v>1045</v>
      </c>
      <c r="E1706" s="8">
        <v>2.2750527942873315</v>
      </c>
      <c r="F1706" s="7">
        <v>0.43955023923444975</v>
      </c>
      <c r="G1706">
        <v>2020</v>
      </c>
    </row>
    <row r="1707" spans="1:7" x14ac:dyDescent="0.25">
      <c r="A1707" t="s">
        <v>19</v>
      </c>
      <c r="B1707" s="3">
        <v>44105</v>
      </c>
      <c r="C1707" s="9">
        <v>454.5</v>
      </c>
      <c r="D1707">
        <v>1045</v>
      </c>
      <c r="E1707" s="8">
        <v>2.2992299229922994</v>
      </c>
      <c r="F1707" s="7">
        <v>0.43492822966507177</v>
      </c>
      <c r="G1707">
        <v>2020</v>
      </c>
    </row>
    <row r="1708" spans="1:7" x14ac:dyDescent="0.25">
      <c r="A1708" t="s">
        <v>19</v>
      </c>
      <c r="B1708" s="3">
        <v>44136</v>
      </c>
      <c r="C1708" s="9">
        <v>488.1</v>
      </c>
      <c r="D1708">
        <v>1045</v>
      </c>
      <c r="E1708" s="8">
        <v>2.1409547223929524</v>
      </c>
      <c r="F1708" s="7">
        <v>0.46708133971291871</v>
      </c>
      <c r="G1708">
        <v>2020</v>
      </c>
    </row>
    <row r="1709" spans="1:7" x14ac:dyDescent="0.25">
      <c r="A1709" t="s">
        <v>19</v>
      </c>
      <c r="B1709" s="3">
        <v>44166</v>
      </c>
      <c r="C1709" s="9">
        <v>479.08</v>
      </c>
      <c r="D1709">
        <v>1045</v>
      </c>
      <c r="E1709" s="8">
        <v>2.1812640895048845</v>
      </c>
      <c r="F1709" s="7">
        <v>0.45844976076555022</v>
      </c>
      <c r="G1709">
        <v>2020</v>
      </c>
    </row>
    <row r="1710" spans="1:7" x14ac:dyDescent="0.25">
      <c r="A1710" t="s">
        <v>19</v>
      </c>
      <c r="B1710" s="3">
        <v>44197</v>
      </c>
      <c r="C1710" s="9">
        <v>488.94</v>
      </c>
      <c r="D1710">
        <v>1100</v>
      </c>
      <c r="E1710" s="8">
        <v>2.2497647973166441</v>
      </c>
      <c r="F1710" s="7">
        <v>0.4444909090909091</v>
      </c>
      <c r="G1710">
        <v>2021</v>
      </c>
    </row>
    <row r="1711" spans="1:7" x14ac:dyDescent="0.25">
      <c r="A1711" t="s">
        <v>19</v>
      </c>
      <c r="B1711" s="3">
        <v>44228</v>
      </c>
      <c r="C1711" s="9">
        <v>479.19</v>
      </c>
      <c r="D1711">
        <v>1100</v>
      </c>
      <c r="E1711" s="8">
        <v>2.2955403910766083</v>
      </c>
      <c r="F1711" s="7">
        <v>0.43562727272727275</v>
      </c>
      <c r="G1711">
        <v>2021</v>
      </c>
    </row>
    <row r="1712" spans="1:7" x14ac:dyDescent="0.25">
      <c r="A1712" t="s">
        <v>19</v>
      </c>
      <c r="B1712" s="3">
        <v>44256</v>
      </c>
      <c r="C1712" s="9">
        <v>461.28</v>
      </c>
      <c r="D1712">
        <v>1100</v>
      </c>
      <c r="E1712" s="8">
        <v>2.3846687478321194</v>
      </c>
      <c r="F1712" s="7">
        <v>0.41934545454545452</v>
      </c>
      <c r="G1712">
        <v>2021</v>
      </c>
    </row>
    <row r="1713" spans="1:7" x14ac:dyDescent="0.25">
      <c r="A1713" t="s">
        <v>19</v>
      </c>
      <c r="B1713" s="3">
        <v>44287</v>
      </c>
      <c r="C1713" s="9">
        <v>457.56</v>
      </c>
      <c r="D1713">
        <v>1100</v>
      </c>
      <c r="E1713" s="8">
        <v>2.4040562986275025</v>
      </c>
      <c r="F1713" s="7">
        <v>0.41596363636363637</v>
      </c>
      <c r="G1713">
        <v>2021</v>
      </c>
    </row>
    <row r="1714" spans="1:7" x14ac:dyDescent="0.25">
      <c r="A1714" t="s">
        <v>19</v>
      </c>
      <c r="B1714" s="3">
        <v>44317</v>
      </c>
      <c r="C1714" s="9">
        <v>470.14</v>
      </c>
      <c r="D1714">
        <v>1100</v>
      </c>
      <c r="E1714" s="8">
        <v>2.3397285914833881</v>
      </c>
      <c r="F1714" s="7">
        <v>0.4274</v>
      </c>
      <c r="G1714">
        <v>2021</v>
      </c>
    </row>
    <row r="1715" spans="1:7" x14ac:dyDescent="0.25">
      <c r="A1715" t="s">
        <v>19</v>
      </c>
      <c r="B1715" s="3">
        <v>44348</v>
      </c>
      <c r="C1715" s="9">
        <v>467.3</v>
      </c>
      <c r="D1715">
        <v>1100</v>
      </c>
      <c r="E1715" s="8">
        <v>2.353948213139311</v>
      </c>
      <c r="F1715" s="7">
        <v>0.42481818181818182</v>
      </c>
      <c r="G1715">
        <v>2021</v>
      </c>
    </row>
    <row r="1716" spans="1:7" x14ac:dyDescent="0.25">
      <c r="A1716" t="s">
        <v>19</v>
      </c>
      <c r="B1716" s="3">
        <v>44378</v>
      </c>
      <c r="C1716" s="9">
        <v>482.58</v>
      </c>
      <c r="D1716">
        <v>1100</v>
      </c>
      <c r="E1716" s="8">
        <v>2.279414812051888</v>
      </c>
      <c r="F1716" s="7">
        <v>0.43870909090909088</v>
      </c>
      <c r="G1716">
        <v>2021</v>
      </c>
    </row>
    <row r="1717" spans="1:7" x14ac:dyDescent="0.25">
      <c r="A1717" t="s">
        <v>19</v>
      </c>
      <c r="B1717" s="3">
        <v>44409</v>
      </c>
      <c r="C1717" s="9">
        <v>485.44</v>
      </c>
      <c r="D1717">
        <v>1100</v>
      </c>
      <c r="E1717" s="8">
        <v>2.2659854976928147</v>
      </c>
      <c r="F1717" s="7">
        <v>0.44130909090909093</v>
      </c>
      <c r="G1717">
        <v>2021</v>
      </c>
    </row>
    <row r="1718" spans="1:7" x14ac:dyDescent="0.25">
      <c r="A1718" t="s">
        <v>19</v>
      </c>
      <c r="B1718" s="3">
        <v>44440</v>
      </c>
      <c r="C1718" s="9">
        <v>478.86</v>
      </c>
      <c r="D1718">
        <v>1100</v>
      </c>
      <c r="E1718" s="8">
        <v>2.2971223322056549</v>
      </c>
      <c r="F1718" s="7">
        <v>0.43532727272727273</v>
      </c>
      <c r="G1718">
        <v>2021</v>
      </c>
    </row>
    <row r="1719" spans="1:7" x14ac:dyDescent="0.25">
      <c r="A1719" t="s">
        <v>19</v>
      </c>
      <c r="B1719" s="3">
        <v>44470</v>
      </c>
      <c r="C1719" s="9">
        <v>487.59</v>
      </c>
      <c r="D1719">
        <v>1100</v>
      </c>
      <c r="E1719" s="8">
        <v>2.2559937652535944</v>
      </c>
      <c r="F1719" s="7">
        <v>0.44326363636363636</v>
      </c>
      <c r="G1719">
        <v>2021</v>
      </c>
    </row>
    <row r="1720" spans="1:7" x14ac:dyDescent="0.25">
      <c r="A1720" t="s">
        <v>19</v>
      </c>
      <c r="B1720" s="3">
        <v>44501</v>
      </c>
      <c r="C1720" s="9">
        <v>505.94</v>
      </c>
      <c r="D1720">
        <v>1100</v>
      </c>
      <c r="E1720" s="8">
        <v>2.1741708502984545</v>
      </c>
      <c r="F1720" s="7">
        <v>0.45994545454545455</v>
      </c>
      <c r="G1720">
        <v>2021</v>
      </c>
    </row>
    <row r="1721" spans="1:7" x14ac:dyDescent="0.25">
      <c r="A1721" t="s">
        <v>19</v>
      </c>
      <c r="B1721" s="3">
        <v>44531</v>
      </c>
      <c r="C1721" s="9">
        <v>518.21</v>
      </c>
      <c r="D1721">
        <v>1100</v>
      </c>
      <c r="E1721" s="8">
        <v>2.1226915729144555</v>
      </c>
      <c r="F1721" s="7">
        <v>0.47110000000000002</v>
      </c>
      <c r="G1721">
        <v>2021</v>
      </c>
    </row>
    <row r="1722" spans="1:7" x14ac:dyDescent="0.25">
      <c r="A1722" t="s">
        <v>19</v>
      </c>
      <c r="B1722" s="3">
        <v>44562</v>
      </c>
      <c r="C1722" s="9">
        <v>540.01</v>
      </c>
      <c r="D1722">
        <v>1212</v>
      </c>
      <c r="E1722" s="8">
        <v>2.2444028814281216</v>
      </c>
      <c r="F1722" s="7">
        <v>0.44555280528052804</v>
      </c>
      <c r="G1722">
        <v>2022</v>
      </c>
    </row>
    <row r="1723" spans="1:7" x14ac:dyDescent="0.25">
      <c r="A1723" t="s">
        <v>19</v>
      </c>
      <c r="B1723" s="3">
        <v>44593</v>
      </c>
      <c r="C1723" s="9">
        <v>552.29999999999995</v>
      </c>
      <c r="D1723">
        <v>1212</v>
      </c>
      <c r="E1723" s="8">
        <v>2.1944595328625747</v>
      </c>
      <c r="F1723" s="7">
        <v>0.45569306930693065</v>
      </c>
      <c r="G1723">
        <v>2022</v>
      </c>
    </row>
    <row r="1724" spans="1:7" x14ac:dyDescent="0.25">
      <c r="A1724" t="s">
        <v>19</v>
      </c>
      <c r="B1724" s="3">
        <v>44621</v>
      </c>
      <c r="C1724" s="9">
        <v>560.39</v>
      </c>
      <c r="D1724">
        <v>1212</v>
      </c>
      <c r="E1724" s="8">
        <v>2.1627794928531916</v>
      </c>
      <c r="F1724" s="7">
        <v>0.46236798679867985</v>
      </c>
      <c r="G1724">
        <v>2022</v>
      </c>
    </row>
    <row r="1725" spans="1:7" x14ac:dyDescent="0.25">
      <c r="A1725" t="s">
        <v>19</v>
      </c>
      <c r="B1725" s="3">
        <v>44652</v>
      </c>
      <c r="C1725" s="9">
        <v>575.84</v>
      </c>
      <c r="D1725">
        <v>1212</v>
      </c>
      <c r="E1725" s="8">
        <v>2.1047513198110583</v>
      </c>
      <c r="F1725" s="7">
        <v>0.47511551155115517</v>
      </c>
      <c r="G1725">
        <v>2022</v>
      </c>
    </row>
    <row r="1726" spans="1:7" x14ac:dyDescent="0.25">
      <c r="A1726" t="s">
        <v>19</v>
      </c>
      <c r="B1726" s="3">
        <v>44682</v>
      </c>
      <c r="C1726" s="9">
        <v>578.88</v>
      </c>
      <c r="D1726">
        <v>1212</v>
      </c>
      <c r="E1726" s="8">
        <v>2.0936981757877282</v>
      </c>
      <c r="F1726" s="7">
        <v>0.4776237623762376</v>
      </c>
      <c r="G1726">
        <v>2022</v>
      </c>
    </row>
    <row r="1727" spans="1:7" x14ac:dyDescent="0.25">
      <c r="A1727" t="s">
        <v>19</v>
      </c>
      <c r="B1727" s="3">
        <v>44713</v>
      </c>
      <c r="C1727" s="9">
        <v>580.82000000000005</v>
      </c>
      <c r="D1727">
        <v>1212</v>
      </c>
      <c r="E1727" s="8">
        <v>2.0867050032712369</v>
      </c>
      <c r="F1727" s="7">
        <v>0.47922442244224428</v>
      </c>
      <c r="G1727">
        <v>2022</v>
      </c>
    </row>
    <row r="1728" spans="1:7" x14ac:dyDescent="0.25">
      <c r="A1728" t="s">
        <v>19</v>
      </c>
      <c r="B1728" s="3">
        <v>44743</v>
      </c>
      <c r="C1728" s="9">
        <v>586.54</v>
      </c>
      <c r="D1728">
        <v>1212</v>
      </c>
      <c r="E1728" s="8">
        <v>2.0663552357895454</v>
      </c>
      <c r="F1728" s="7">
        <v>0.48394389438943891</v>
      </c>
      <c r="G1728">
        <v>2022</v>
      </c>
    </row>
    <row r="1729" spans="1:7" x14ac:dyDescent="0.25">
      <c r="A1729" t="s">
        <v>19</v>
      </c>
      <c r="B1729" s="3">
        <v>44774</v>
      </c>
      <c r="C1729" s="9">
        <v>576.92999999999995</v>
      </c>
      <c r="D1729">
        <v>1212</v>
      </c>
      <c r="E1729" s="8">
        <v>2.1007747907025118</v>
      </c>
      <c r="F1729" s="7">
        <v>0.47601485148514849</v>
      </c>
      <c r="G1729">
        <v>2022</v>
      </c>
    </row>
    <row r="1730" spans="1:7" x14ac:dyDescent="0.25">
      <c r="A1730" t="s">
        <v>19</v>
      </c>
      <c r="B1730" s="3">
        <v>44805</v>
      </c>
      <c r="C1730" s="9">
        <v>560.30999999999995</v>
      </c>
      <c r="D1730">
        <v>1212</v>
      </c>
      <c r="E1730" s="8">
        <v>2.1630882904106659</v>
      </c>
      <c r="F1730" s="7">
        <v>0.46230198019801977</v>
      </c>
      <c r="G1730">
        <v>2022</v>
      </c>
    </row>
    <row r="1731" spans="1:7" x14ac:dyDescent="0.25">
      <c r="A1731" t="s">
        <v>19</v>
      </c>
      <c r="B1731" s="3">
        <v>44835</v>
      </c>
      <c r="C1731" s="9">
        <v>562.59</v>
      </c>
      <c r="D1731">
        <v>1212</v>
      </c>
      <c r="E1731" s="8">
        <v>2.1543219751506424</v>
      </c>
      <c r="F1731" s="7">
        <v>0.46418316831683171</v>
      </c>
      <c r="G1731">
        <v>2022</v>
      </c>
    </row>
    <row r="1732" spans="1:7" x14ac:dyDescent="0.25">
      <c r="A1732" t="s">
        <v>19</v>
      </c>
      <c r="B1732" s="3">
        <v>44866</v>
      </c>
      <c r="C1732" s="9">
        <v>550.66999999999996</v>
      </c>
      <c r="D1732">
        <v>1212</v>
      </c>
      <c r="E1732" s="8">
        <v>2.2009552000290555</v>
      </c>
      <c r="F1732" s="7">
        <v>0.45434818481848183</v>
      </c>
      <c r="G1732">
        <v>2022</v>
      </c>
    </row>
    <row r="1733" spans="1:7" x14ac:dyDescent="0.25">
      <c r="A1733" t="s">
        <v>19</v>
      </c>
      <c r="B1733" s="3">
        <v>44896</v>
      </c>
      <c r="C1733" s="9">
        <v>570.70000000000005</v>
      </c>
      <c r="D1733">
        <v>1212</v>
      </c>
      <c r="E1733" s="8">
        <v>2.1237077273523739</v>
      </c>
      <c r="F1733" s="7">
        <v>0.47087458745874589</v>
      </c>
      <c r="G1733">
        <v>2022</v>
      </c>
    </row>
    <row r="1734" spans="1:7" x14ac:dyDescent="0.25">
      <c r="A1734" t="s">
        <v>19</v>
      </c>
      <c r="B1734" s="3">
        <v>44927</v>
      </c>
      <c r="C1734" s="9">
        <v>594.83000000000004</v>
      </c>
      <c r="D1734">
        <v>1302</v>
      </c>
      <c r="E1734" s="8">
        <v>2.1888606828841852</v>
      </c>
      <c r="F1734" s="7">
        <v>0.45685867895545318</v>
      </c>
      <c r="G1734">
        <v>2023</v>
      </c>
    </row>
    <row r="1735" spans="1:7" x14ac:dyDescent="0.25">
      <c r="A1735" t="s">
        <v>19</v>
      </c>
      <c r="B1735" s="3">
        <v>44958</v>
      </c>
      <c r="C1735" s="9">
        <v>596.88</v>
      </c>
      <c r="D1735">
        <v>1302</v>
      </c>
      <c r="E1735" s="8">
        <v>2.1813429835142744</v>
      </c>
      <c r="F1735" s="7">
        <v>0.45843317972350228</v>
      </c>
      <c r="G1735">
        <v>2023</v>
      </c>
    </row>
    <row r="1736" spans="1:7" x14ac:dyDescent="0.25">
      <c r="A1736" t="s">
        <v>19</v>
      </c>
      <c r="B1736" s="3">
        <v>44986</v>
      </c>
      <c r="C1736" s="9">
        <v>591.4</v>
      </c>
      <c r="D1736">
        <v>1302</v>
      </c>
      <c r="E1736" s="8">
        <v>2.2015556307067974</v>
      </c>
      <c r="F1736" s="7">
        <v>0.45422427035330259</v>
      </c>
      <c r="G1736">
        <v>2023</v>
      </c>
    </row>
    <row r="1737" spans="1:7" x14ac:dyDescent="0.25">
      <c r="A1737" t="s">
        <v>19</v>
      </c>
      <c r="B1737" s="3">
        <v>45017</v>
      </c>
      <c r="C1737" s="9">
        <v>585.99</v>
      </c>
      <c r="D1737">
        <v>1302</v>
      </c>
      <c r="E1737" s="8">
        <v>2.2218809194696156</v>
      </c>
      <c r="F1737" s="7">
        <v>0.45006912442396313</v>
      </c>
      <c r="G1737">
        <v>2023</v>
      </c>
    </row>
    <row r="1738" spans="1:7" x14ac:dyDescent="0.25">
      <c r="A1738" t="s">
        <v>19</v>
      </c>
      <c r="B1738" s="3">
        <v>45047</v>
      </c>
      <c r="C1738" s="9">
        <v>594.32000000000005</v>
      </c>
      <c r="D1738">
        <v>1320</v>
      </c>
      <c r="E1738" s="8">
        <v>2.2210257100551889</v>
      </c>
      <c r="F1738" s="7">
        <v>0.45024242424242428</v>
      </c>
      <c r="G1738">
        <v>2023</v>
      </c>
    </row>
    <row r="1739" spans="1:7" x14ac:dyDescent="0.25">
      <c r="A1739" t="s">
        <v>19</v>
      </c>
      <c r="B1739" s="3">
        <v>45078</v>
      </c>
      <c r="C1739" s="9">
        <v>595.84</v>
      </c>
      <c r="D1739">
        <v>1320</v>
      </c>
      <c r="E1739" s="8">
        <v>2.215359828141783</v>
      </c>
      <c r="F1739" s="7">
        <v>0.4513939393939394</v>
      </c>
      <c r="G1739">
        <v>2023</v>
      </c>
    </row>
    <row r="1740" spans="1:7" x14ac:dyDescent="0.25">
      <c r="A1740" t="s">
        <v>19</v>
      </c>
      <c r="B1740" s="3">
        <v>45108</v>
      </c>
      <c r="C1740" s="9">
        <v>596.04</v>
      </c>
      <c r="D1740">
        <v>1320</v>
      </c>
      <c r="E1740" s="8">
        <v>2.2146164686933765</v>
      </c>
      <c r="F1740" s="7">
        <v>0.45154545454545453</v>
      </c>
      <c r="G1740">
        <v>2023</v>
      </c>
    </row>
    <row r="1741" spans="1:7" x14ac:dyDescent="0.25">
      <c r="A1741" t="s">
        <v>19</v>
      </c>
      <c r="B1741" s="3">
        <v>45139</v>
      </c>
      <c r="C1741" s="9">
        <v>575.80999999999995</v>
      </c>
      <c r="D1741">
        <v>1320</v>
      </c>
      <c r="E1741" s="8">
        <v>2.2924228478143833</v>
      </c>
      <c r="F1741" s="7">
        <v>0.43621969696969692</v>
      </c>
      <c r="G1741">
        <v>2023</v>
      </c>
    </row>
    <row r="1742" spans="1:7" x14ac:dyDescent="0.25">
      <c r="A1742" t="s">
        <v>19</v>
      </c>
      <c r="B1742" s="3">
        <v>45170</v>
      </c>
      <c r="C1742" s="9">
        <v>571.01</v>
      </c>
      <c r="D1742">
        <v>1320</v>
      </c>
      <c r="E1742" s="8">
        <v>2.3116933153534966</v>
      </c>
      <c r="F1742" s="7">
        <v>0.43258333333333332</v>
      </c>
      <c r="G1742">
        <v>2023</v>
      </c>
    </row>
    <row r="1743" spans="1:7" x14ac:dyDescent="0.25">
      <c r="A1743" t="s">
        <v>19</v>
      </c>
      <c r="B1743" s="3">
        <v>45200</v>
      </c>
      <c r="C1743" s="9">
        <v>563.1</v>
      </c>
      <c r="D1743">
        <v>1320</v>
      </c>
      <c r="E1743" s="8">
        <v>2.3441662226957911</v>
      </c>
      <c r="F1743" s="7">
        <v>0.42659090909090913</v>
      </c>
      <c r="G1743">
        <v>2023</v>
      </c>
    </row>
    <row r="1744" spans="1:7" x14ac:dyDescent="0.25">
      <c r="A1744" t="s">
        <v>19</v>
      </c>
      <c r="B1744" s="3">
        <v>45231</v>
      </c>
      <c r="C1744" s="9">
        <v>550.86</v>
      </c>
      <c r="D1744">
        <v>1320</v>
      </c>
      <c r="E1744" s="8">
        <v>2.3962531314671605</v>
      </c>
      <c r="F1744" s="7">
        <v>0.41731818181818181</v>
      </c>
      <c r="G1744">
        <v>2023</v>
      </c>
    </row>
    <row r="1745" spans="1:7" x14ac:dyDescent="0.25">
      <c r="A1745" t="s">
        <v>19</v>
      </c>
      <c r="B1745" s="3">
        <v>45261</v>
      </c>
      <c r="C1745" s="9">
        <v>560.80999999999995</v>
      </c>
      <c r="D1745">
        <v>1320</v>
      </c>
      <c r="E1745" s="8">
        <v>2.3537383427542307</v>
      </c>
      <c r="F1745" s="7">
        <v>0.42485606060606057</v>
      </c>
      <c r="G1745">
        <v>2023</v>
      </c>
    </row>
    <row r="1746" spans="1:7" x14ac:dyDescent="0.25">
      <c r="A1746" t="s">
        <v>19</v>
      </c>
      <c r="B1746" s="3">
        <v>45292</v>
      </c>
      <c r="C1746" s="9">
        <v>593.26</v>
      </c>
      <c r="D1746">
        <v>1412</v>
      </c>
      <c r="E1746" s="8">
        <v>2.3800694467855577</v>
      </c>
      <c r="F1746" s="7">
        <v>0.42015580736543906</v>
      </c>
      <c r="G1746">
        <v>2024</v>
      </c>
    </row>
    <row r="1747" spans="1:7" x14ac:dyDescent="0.25">
      <c r="A1747" t="s">
        <v>19</v>
      </c>
      <c r="B1747" s="3">
        <v>45323</v>
      </c>
      <c r="C1747" s="9">
        <v>604.29999999999995</v>
      </c>
      <c r="D1747">
        <v>1412</v>
      </c>
      <c r="E1747" s="8">
        <v>2.3365877875227539</v>
      </c>
      <c r="F1747" s="7">
        <v>0.42797450424929173</v>
      </c>
      <c r="G1747">
        <v>2024</v>
      </c>
    </row>
    <row r="1748" spans="1:7" x14ac:dyDescent="0.25">
      <c r="A1748" t="s">
        <v>19</v>
      </c>
      <c r="B1748" s="3">
        <v>45352</v>
      </c>
      <c r="C1748" s="9">
        <v>620.13</v>
      </c>
      <c r="D1748">
        <v>1412</v>
      </c>
      <c r="E1748" s="8">
        <v>2.2769419315304855</v>
      </c>
      <c r="F1748" s="7">
        <v>0.439185552407932</v>
      </c>
      <c r="G1748">
        <v>2024</v>
      </c>
    </row>
    <row r="1749" spans="1:7" x14ac:dyDescent="0.25">
      <c r="A1749" t="s">
        <v>19</v>
      </c>
      <c r="B1749" s="3">
        <v>45383</v>
      </c>
      <c r="C1749" s="9">
        <v>640.12</v>
      </c>
      <c r="D1749">
        <v>1412</v>
      </c>
      <c r="E1749" s="8">
        <v>2.2058364056739359</v>
      </c>
      <c r="F1749" s="7">
        <v>0.45334277620396601</v>
      </c>
      <c r="G1749">
        <v>2024</v>
      </c>
    </row>
    <row r="1750" spans="1:7" x14ac:dyDescent="0.25">
      <c r="A1750" t="s">
        <v>19</v>
      </c>
      <c r="B1750" s="3">
        <v>45413</v>
      </c>
      <c r="C1750" s="9">
        <v>623.04999999999995</v>
      </c>
      <c r="D1750">
        <v>1412</v>
      </c>
      <c r="E1750" s="8">
        <v>2.2662707647861331</v>
      </c>
      <c r="F1750" s="7">
        <v>0.44125354107648723</v>
      </c>
      <c r="G1750">
        <v>2024</v>
      </c>
    </row>
    <row r="1751" spans="1:7" x14ac:dyDescent="0.25">
      <c r="A1751" t="s">
        <v>19</v>
      </c>
      <c r="B1751" s="3">
        <v>45444</v>
      </c>
      <c r="C1751" s="9">
        <v>613.22</v>
      </c>
      <c r="D1751">
        <v>1412</v>
      </c>
      <c r="E1751" s="8">
        <v>2.3025993933661653</v>
      </c>
      <c r="F1751" s="7">
        <v>0.43429178470254959</v>
      </c>
      <c r="G1751">
        <v>2024</v>
      </c>
    </row>
    <row r="1752" spans="1:7" x14ac:dyDescent="0.25">
      <c r="A1752" t="s">
        <v>19</v>
      </c>
      <c r="B1752" s="3">
        <v>45474</v>
      </c>
      <c r="C1752" s="9">
        <v>579.75</v>
      </c>
      <c r="D1752">
        <v>1412</v>
      </c>
      <c r="E1752" s="8">
        <v>2.435532557136697</v>
      </c>
      <c r="F1752" s="7">
        <v>0.41058781869688388</v>
      </c>
      <c r="G1752">
        <v>2024</v>
      </c>
    </row>
    <row r="1753" spans="1:7" x14ac:dyDescent="0.25">
      <c r="A1753" t="s">
        <v>19</v>
      </c>
      <c r="B1753" s="3">
        <v>45505</v>
      </c>
      <c r="C1753" s="9">
        <v>560.72</v>
      </c>
      <c r="D1753">
        <v>1412</v>
      </c>
      <c r="E1753" s="8">
        <v>2.5181908974176057</v>
      </c>
      <c r="F1753" s="7">
        <v>0.39711048158640228</v>
      </c>
      <c r="G1753">
        <v>2024</v>
      </c>
    </row>
    <row r="1754" spans="1:7" x14ac:dyDescent="0.25">
      <c r="A1754" t="s">
        <v>19</v>
      </c>
      <c r="B1754" s="3">
        <v>45536</v>
      </c>
      <c r="C1754" s="9">
        <v>553.62</v>
      </c>
      <c r="D1754">
        <v>1412</v>
      </c>
      <c r="E1754" s="8">
        <v>2.5504858928506917</v>
      </c>
      <c r="F1754" s="7">
        <v>0.39208215297450427</v>
      </c>
      <c r="G1754">
        <v>2024</v>
      </c>
    </row>
    <row r="1755" spans="1:7" x14ac:dyDescent="0.25">
      <c r="A1755" t="s">
        <v>19</v>
      </c>
      <c r="B1755" s="3">
        <v>45566</v>
      </c>
      <c r="C1755" s="9">
        <v>560.65</v>
      </c>
      <c r="D1755">
        <v>1412</v>
      </c>
      <c r="E1755" s="8">
        <v>2.5185053063408547</v>
      </c>
      <c r="F1755" s="7">
        <v>0.39706090651558074</v>
      </c>
      <c r="G1755">
        <v>2024</v>
      </c>
    </row>
    <row r="1756" spans="1:7" x14ac:dyDescent="0.25">
      <c r="A1756" t="s">
        <v>19</v>
      </c>
      <c r="B1756" s="3">
        <v>45597</v>
      </c>
      <c r="C1756" s="9">
        <v>574.78</v>
      </c>
      <c r="D1756">
        <v>1412</v>
      </c>
      <c r="E1756" s="8">
        <v>2.4565920874073561</v>
      </c>
      <c r="F1756" s="7">
        <v>0.4070679886685552</v>
      </c>
      <c r="G1756">
        <v>2024</v>
      </c>
    </row>
    <row r="1757" spans="1:7" x14ac:dyDescent="0.25">
      <c r="A1757" t="s">
        <v>19</v>
      </c>
      <c r="B1757" s="3">
        <v>45627</v>
      </c>
      <c r="C1757" s="9">
        <v>583.89</v>
      </c>
      <c r="D1757">
        <v>1412</v>
      </c>
      <c r="E1757" s="8">
        <v>2.4182637140557297</v>
      </c>
      <c r="F1757" s="7">
        <v>0.41351983002832859</v>
      </c>
      <c r="G1757">
        <v>2024</v>
      </c>
    </row>
    <row r="1758" spans="1:7" x14ac:dyDescent="0.25">
      <c r="A1758" t="s">
        <v>19</v>
      </c>
      <c r="B1758" s="3">
        <v>45658</v>
      </c>
      <c r="C1758" s="9">
        <v>620.23</v>
      </c>
      <c r="D1758">
        <v>1518</v>
      </c>
      <c r="E1758" s="8">
        <v>2.4474791609564193</v>
      </c>
      <c r="F1758" s="7">
        <v>0.40858366271409752</v>
      </c>
      <c r="G1758">
        <v>2025</v>
      </c>
    </row>
    <row r="1759" spans="1:7" x14ac:dyDescent="0.25">
      <c r="A1759" t="s">
        <v>19</v>
      </c>
      <c r="B1759" s="3">
        <v>45689</v>
      </c>
      <c r="C1759" s="9">
        <v>628.79999999999995</v>
      </c>
      <c r="D1759">
        <v>1518</v>
      </c>
      <c r="E1759" s="8">
        <v>2.4141221374045805</v>
      </c>
      <c r="F1759" s="7">
        <v>0.4142292490118577</v>
      </c>
      <c r="G1759">
        <v>2025</v>
      </c>
    </row>
    <row r="1760" spans="1:7" x14ac:dyDescent="0.25">
      <c r="A1760" t="s">
        <v>19</v>
      </c>
      <c r="B1760" s="3">
        <v>45717</v>
      </c>
      <c r="C1760" s="9">
        <v>633.58000000000004</v>
      </c>
      <c r="D1760">
        <v>1518</v>
      </c>
      <c r="E1760" s="8">
        <v>2.3959089617727831</v>
      </c>
      <c r="F1760" s="7">
        <v>0.41737812911725958</v>
      </c>
      <c r="G1760">
        <v>2025</v>
      </c>
    </row>
    <row r="1761" spans="1:7" x14ac:dyDescent="0.25">
      <c r="A1761" t="s">
        <v>19</v>
      </c>
      <c r="B1761" s="3">
        <v>45748</v>
      </c>
      <c r="C1761" s="9">
        <v>632.12</v>
      </c>
      <c r="D1761">
        <v>1518</v>
      </c>
      <c r="E1761" s="8">
        <v>2.4014427640321458</v>
      </c>
      <c r="F1761" s="7">
        <v>0.41641633728590249</v>
      </c>
      <c r="G1761">
        <v>2025</v>
      </c>
    </row>
    <row r="1762" spans="1:7" x14ac:dyDescent="0.25">
      <c r="A1762" t="s">
        <v>19</v>
      </c>
      <c r="B1762" s="3">
        <v>45778</v>
      </c>
      <c r="C1762" s="9">
        <v>628.97</v>
      </c>
      <c r="D1762">
        <v>1518</v>
      </c>
      <c r="E1762" s="8">
        <v>2.4134696408413756</v>
      </c>
      <c r="F1762" s="7">
        <v>0.41434123847167326</v>
      </c>
      <c r="G1762">
        <v>2025</v>
      </c>
    </row>
    <row r="1763" spans="1:7" x14ac:dyDescent="0.25">
      <c r="A1763" t="s">
        <v>19</v>
      </c>
      <c r="B1763" s="3">
        <v>45809</v>
      </c>
      <c r="C1763" s="9">
        <v>623.85</v>
      </c>
      <c r="D1763">
        <v>1518</v>
      </c>
      <c r="E1763" s="8">
        <v>2.43327723010339</v>
      </c>
      <c r="F1763" s="7">
        <v>0.41096837944664033</v>
      </c>
      <c r="G1763">
        <v>2025</v>
      </c>
    </row>
    <row r="1764" spans="1:7" x14ac:dyDescent="0.25">
      <c r="A1764" t="s">
        <v>20</v>
      </c>
      <c r="B1764" s="3">
        <v>42005</v>
      </c>
      <c r="C1764" s="9">
        <v>371.22</v>
      </c>
      <c r="D1764">
        <v>788</v>
      </c>
      <c r="E1764" s="8">
        <v>2.1227304563331715</v>
      </c>
      <c r="F1764" s="7">
        <v>0.47109137055837569</v>
      </c>
      <c r="G1764">
        <v>2015</v>
      </c>
    </row>
    <row r="1765" spans="1:7" x14ac:dyDescent="0.25">
      <c r="A1765" t="s">
        <v>20</v>
      </c>
      <c r="B1765" s="3">
        <v>42036</v>
      </c>
      <c r="C1765" s="9">
        <v>378.86</v>
      </c>
      <c r="D1765">
        <v>788</v>
      </c>
      <c r="E1765" s="8">
        <v>2.079923982473737</v>
      </c>
      <c r="F1765" s="7">
        <v>0.48078680203045687</v>
      </c>
      <c r="G1765">
        <v>2015</v>
      </c>
    </row>
    <row r="1766" spans="1:7" x14ac:dyDescent="0.25">
      <c r="A1766" t="s">
        <v>20</v>
      </c>
      <c r="B1766" s="3">
        <v>42064</v>
      </c>
      <c r="C1766" s="9">
        <v>379.35</v>
      </c>
      <c r="D1766">
        <v>788</v>
      </c>
      <c r="E1766" s="8">
        <v>2.0772373797284827</v>
      </c>
      <c r="F1766" s="7">
        <v>0.48140862944162438</v>
      </c>
      <c r="G1766">
        <v>2015</v>
      </c>
    </row>
    <row r="1767" spans="1:7" x14ac:dyDescent="0.25">
      <c r="A1767" t="s">
        <v>20</v>
      </c>
      <c r="B1767" s="3">
        <v>42095</v>
      </c>
      <c r="C1767" s="9">
        <v>387.05</v>
      </c>
      <c r="D1767">
        <v>788</v>
      </c>
      <c r="E1767" s="8">
        <v>2.0359126727812944</v>
      </c>
      <c r="F1767" s="7">
        <v>0.49118020304568527</v>
      </c>
      <c r="G1767">
        <v>2015</v>
      </c>
    </row>
    <row r="1768" spans="1:7" x14ac:dyDescent="0.25">
      <c r="A1768" t="s">
        <v>20</v>
      </c>
      <c r="B1768" s="3">
        <v>42125</v>
      </c>
      <c r="C1768" s="9">
        <v>402.05</v>
      </c>
      <c r="D1768">
        <v>788</v>
      </c>
      <c r="E1768" s="8">
        <v>1.9599552294490734</v>
      </c>
      <c r="F1768" s="7">
        <v>0.5102157360406091</v>
      </c>
      <c r="G1768">
        <v>2015</v>
      </c>
    </row>
    <row r="1769" spans="1:7" x14ac:dyDescent="0.25">
      <c r="A1769" t="s">
        <v>20</v>
      </c>
      <c r="B1769" s="3">
        <v>42156</v>
      </c>
      <c r="C1769" s="9">
        <v>392.77</v>
      </c>
      <c r="D1769">
        <v>788</v>
      </c>
      <c r="E1769" s="8">
        <v>2.0062632074751128</v>
      </c>
      <c r="F1769" s="7">
        <v>0.49843908629441624</v>
      </c>
      <c r="G1769">
        <v>2015</v>
      </c>
    </row>
    <row r="1770" spans="1:7" x14ac:dyDescent="0.25">
      <c r="A1770" t="s">
        <v>20</v>
      </c>
      <c r="B1770" s="3">
        <v>42186</v>
      </c>
      <c r="C1770" s="9">
        <v>395.83</v>
      </c>
      <c r="D1770">
        <v>788</v>
      </c>
      <c r="E1770" s="8">
        <v>1.9907536063461588</v>
      </c>
      <c r="F1770" s="7">
        <v>0.50232233502538071</v>
      </c>
      <c r="G1770">
        <v>2015</v>
      </c>
    </row>
    <row r="1771" spans="1:7" x14ac:dyDescent="0.25">
      <c r="A1771" t="s">
        <v>20</v>
      </c>
      <c r="B1771" s="3">
        <v>42217</v>
      </c>
      <c r="C1771" s="9">
        <v>386.04</v>
      </c>
      <c r="D1771">
        <v>788</v>
      </c>
      <c r="E1771" s="8">
        <v>2.0412392498186716</v>
      </c>
      <c r="F1771" s="7">
        <v>0.48989847715736046</v>
      </c>
      <c r="G1771">
        <v>2015</v>
      </c>
    </row>
    <row r="1772" spans="1:7" x14ac:dyDescent="0.25">
      <c r="A1772" t="s">
        <v>20</v>
      </c>
      <c r="B1772" s="3">
        <v>42248</v>
      </c>
      <c r="C1772" s="9">
        <v>383.21</v>
      </c>
      <c r="D1772">
        <v>788</v>
      </c>
      <c r="E1772" s="8">
        <v>2.056313770517471</v>
      </c>
      <c r="F1772" s="7">
        <v>0.48630710659898474</v>
      </c>
      <c r="G1772">
        <v>2015</v>
      </c>
    </row>
    <row r="1773" spans="1:7" x14ac:dyDescent="0.25">
      <c r="A1773" t="s">
        <v>20</v>
      </c>
      <c r="B1773" s="3">
        <v>42278</v>
      </c>
      <c r="C1773" s="9">
        <v>382.13</v>
      </c>
      <c r="D1773">
        <v>788</v>
      </c>
      <c r="E1773" s="8">
        <v>2.0621254546881951</v>
      </c>
      <c r="F1773" s="7">
        <v>0.48493654822335025</v>
      </c>
      <c r="G1773">
        <v>2015</v>
      </c>
    </row>
    <row r="1774" spans="1:7" x14ac:dyDescent="0.25">
      <c r="A1774" t="s">
        <v>20</v>
      </c>
      <c r="B1774" s="3">
        <v>42309</v>
      </c>
      <c r="C1774" s="9">
        <v>399.21</v>
      </c>
      <c r="D1774">
        <v>788</v>
      </c>
      <c r="E1774" s="8">
        <v>1.9738984494376395</v>
      </c>
      <c r="F1774" s="7">
        <v>0.50661167512690353</v>
      </c>
      <c r="G1774">
        <v>2015</v>
      </c>
    </row>
    <row r="1775" spans="1:7" x14ac:dyDescent="0.25">
      <c r="A1775" t="s">
        <v>20</v>
      </c>
      <c r="B1775" s="3">
        <v>42339</v>
      </c>
      <c r="C1775" s="9">
        <v>412.12</v>
      </c>
      <c r="D1775">
        <v>788</v>
      </c>
      <c r="E1775" s="8">
        <v>1.9120644472483743</v>
      </c>
      <c r="F1775" s="7">
        <v>0.52299492385786805</v>
      </c>
      <c r="G1775">
        <v>2015</v>
      </c>
    </row>
    <row r="1776" spans="1:7" x14ac:dyDescent="0.25">
      <c r="A1776" t="s">
        <v>20</v>
      </c>
      <c r="B1776" s="3">
        <v>42370</v>
      </c>
      <c r="C1776" s="9">
        <v>448.31</v>
      </c>
      <c r="D1776">
        <v>880</v>
      </c>
      <c r="E1776" s="8">
        <v>1.9629274386027526</v>
      </c>
      <c r="F1776" s="7">
        <v>0.50944318181818182</v>
      </c>
      <c r="G1776">
        <v>2016</v>
      </c>
    </row>
    <row r="1777" spans="1:7" x14ac:dyDescent="0.25">
      <c r="A1777" t="s">
        <v>20</v>
      </c>
      <c r="B1777" s="3">
        <v>42401</v>
      </c>
      <c r="C1777" s="9">
        <v>443.4</v>
      </c>
      <c r="D1777">
        <v>880</v>
      </c>
      <c r="E1777" s="8">
        <v>1.9846639603067209</v>
      </c>
      <c r="F1777" s="7">
        <v>0.50386363636363629</v>
      </c>
      <c r="G1777">
        <v>2016</v>
      </c>
    </row>
    <row r="1778" spans="1:7" x14ac:dyDescent="0.25">
      <c r="A1778" t="s">
        <v>20</v>
      </c>
      <c r="B1778" s="3">
        <v>42430</v>
      </c>
      <c r="C1778" s="9">
        <v>444.11</v>
      </c>
      <c r="D1778">
        <v>880</v>
      </c>
      <c r="E1778" s="8">
        <v>1.9814910720317038</v>
      </c>
      <c r="F1778" s="7">
        <v>0.50467045454545456</v>
      </c>
      <c r="G1778">
        <v>2016</v>
      </c>
    </row>
    <row r="1779" spans="1:7" x14ac:dyDescent="0.25">
      <c r="A1779" t="s">
        <v>20</v>
      </c>
      <c r="B1779" s="3">
        <v>42461</v>
      </c>
      <c r="C1779" s="9">
        <v>442.42</v>
      </c>
      <c r="D1779">
        <v>880</v>
      </c>
      <c r="E1779" s="8">
        <v>1.9890601690701144</v>
      </c>
      <c r="F1779" s="7">
        <v>0.50275000000000003</v>
      </c>
      <c r="G1779">
        <v>2016</v>
      </c>
    </row>
    <row r="1780" spans="1:7" x14ac:dyDescent="0.25">
      <c r="A1780" t="s">
        <v>20</v>
      </c>
      <c r="B1780" s="3">
        <v>42491</v>
      </c>
      <c r="C1780" s="9">
        <v>449.7</v>
      </c>
      <c r="D1780">
        <v>880</v>
      </c>
      <c r="E1780" s="8">
        <v>1.9568601289748722</v>
      </c>
      <c r="F1780" s="7">
        <v>0.51102272727272724</v>
      </c>
      <c r="G1780">
        <v>2016</v>
      </c>
    </row>
    <row r="1781" spans="1:7" x14ac:dyDescent="0.25">
      <c r="A1781" t="s">
        <v>20</v>
      </c>
      <c r="B1781" s="3">
        <v>42522</v>
      </c>
      <c r="C1781" s="9">
        <v>469.02</v>
      </c>
      <c r="D1781">
        <v>880</v>
      </c>
      <c r="E1781" s="8">
        <v>1.87625261182892</v>
      </c>
      <c r="F1781" s="7">
        <v>0.53297727272727269</v>
      </c>
      <c r="G1781">
        <v>2016</v>
      </c>
    </row>
    <row r="1782" spans="1:7" x14ac:dyDescent="0.25">
      <c r="A1782" t="s">
        <v>20</v>
      </c>
      <c r="B1782" s="3">
        <v>42552</v>
      </c>
      <c r="C1782" s="9">
        <v>475.27</v>
      </c>
      <c r="D1782">
        <v>880</v>
      </c>
      <c r="E1782" s="8">
        <v>1.8515791024049488</v>
      </c>
      <c r="F1782" s="7">
        <v>0.5400795454545454</v>
      </c>
      <c r="G1782">
        <v>2016</v>
      </c>
    </row>
    <row r="1783" spans="1:7" x14ac:dyDescent="0.25">
      <c r="A1783" t="s">
        <v>20</v>
      </c>
      <c r="B1783" s="3">
        <v>42583</v>
      </c>
      <c r="C1783" s="9">
        <v>475.11</v>
      </c>
      <c r="D1783">
        <v>880</v>
      </c>
      <c r="E1783" s="8">
        <v>1.8522026478078759</v>
      </c>
      <c r="F1783" s="7">
        <v>0.53989772727272733</v>
      </c>
      <c r="G1783">
        <v>2016</v>
      </c>
    </row>
    <row r="1784" spans="1:7" x14ac:dyDescent="0.25">
      <c r="A1784" t="s">
        <v>20</v>
      </c>
      <c r="B1784" s="3">
        <v>42614</v>
      </c>
      <c r="C1784" s="9">
        <v>471.57</v>
      </c>
      <c r="D1784">
        <v>880</v>
      </c>
      <c r="E1784" s="8">
        <v>1.8661068346162819</v>
      </c>
      <c r="F1784" s="7">
        <v>0.53587499999999999</v>
      </c>
      <c r="G1784">
        <v>2016</v>
      </c>
    </row>
    <row r="1785" spans="1:7" x14ac:dyDescent="0.25">
      <c r="A1785" t="s">
        <v>20</v>
      </c>
      <c r="B1785" s="3">
        <v>42644</v>
      </c>
      <c r="C1785" s="9">
        <v>469.55</v>
      </c>
      <c r="D1785">
        <v>880</v>
      </c>
      <c r="E1785" s="8">
        <v>1.8741348099243957</v>
      </c>
      <c r="F1785" s="7">
        <v>0.53357954545454545</v>
      </c>
      <c r="G1785">
        <v>2016</v>
      </c>
    </row>
    <row r="1786" spans="1:7" x14ac:dyDescent="0.25">
      <c r="A1786" t="s">
        <v>20</v>
      </c>
      <c r="B1786" s="3">
        <v>42675</v>
      </c>
      <c r="C1786" s="9">
        <v>450.39</v>
      </c>
      <c r="D1786">
        <v>880</v>
      </c>
      <c r="E1786" s="8">
        <v>1.953862208308355</v>
      </c>
      <c r="F1786" s="7">
        <v>0.51180681818181817</v>
      </c>
      <c r="G1786">
        <v>2016</v>
      </c>
    </row>
    <row r="1787" spans="1:7" x14ac:dyDescent="0.25">
      <c r="A1787" t="s">
        <v>20</v>
      </c>
      <c r="B1787" s="3">
        <v>42705</v>
      </c>
      <c r="C1787" s="9">
        <v>438.89</v>
      </c>
      <c r="D1787">
        <v>880</v>
      </c>
      <c r="E1787" s="8">
        <v>2.0050582150424936</v>
      </c>
      <c r="F1787" s="7">
        <v>0.49873863636363636</v>
      </c>
      <c r="G1787">
        <v>2016</v>
      </c>
    </row>
    <row r="1788" spans="1:7" x14ac:dyDescent="0.25">
      <c r="A1788" t="s">
        <v>20</v>
      </c>
      <c r="B1788" s="3">
        <v>42736</v>
      </c>
      <c r="C1788" s="9">
        <v>435.89</v>
      </c>
      <c r="D1788">
        <v>937</v>
      </c>
      <c r="E1788" s="8">
        <v>2.1496249053660326</v>
      </c>
      <c r="F1788" s="7">
        <v>0.46519743863393809</v>
      </c>
      <c r="G1788">
        <v>2017</v>
      </c>
    </row>
    <row r="1789" spans="1:7" x14ac:dyDescent="0.25">
      <c r="A1789" t="s">
        <v>20</v>
      </c>
      <c r="B1789" s="3">
        <v>42767</v>
      </c>
      <c r="C1789" s="9">
        <v>426.22</v>
      </c>
      <c r="D1789">
        <v>937</v>
      </c>
      <c r="E1789" s="8">
        <v>2.1983951949697338</v>
      </c>
      <c r="F1789" s="7">
        <v>0.4548772678762007</v>
      </c>
      <c r="G1789">
        <v>2017</v>
      </c>
    </row>
    <row r="1790" spans="1:7" x14ac:dyDescent="0.25">
      <c r="A1790" t="s">
        <v>20</v>
      </c>
      <c r="B1790" s="3">
        <v>42795</v>
      </c>
      <c r="C1790" s="9">
        <v>435.34</v>
      </c>
      <c r="D1790">
        <v>937</v>
      </c>
      <c r="E1790" s="8">
        <v>2.1523406992235956</v>
      </c>
      <c r="F1790" s="7">
        <v>0.46461045891141939</v>
      </c>
      <c r="G1790">
        <v>2017</v>
      </c>
    </row>
    <row r="1791" spans="1:7" x14ac:dyDescent="0.25">
      <c r="A1791" t="s">
        <v>20</v>
      </c>
      <c r="B1791" s="3">
        <v>42826</v>
      </c>
      <c r="C1791" s="9">
        <v>446.28</v>
      </c>
      <c r="D1791">
        <v>937</v>
      </c>
      <c r="E1791" s="8">
        <v>2.0995787398046071</v>
      </c>
      <c r="F1791" s="7">
        <v>0.47628601921024544</v>
      </c>
      <c r="G1791">
        <v>2017</v>
      </c>
    </row>
    <row r="1792" spans="1:7" x14ac:dyDescent="0.25">
      <c r="A1792" t="s">
        <v>20</v>
      </c>
      <c r="B1792" s="3">
        <v>42856</v>
      </c>
      <c r="C1792" s="9">
        <v>458.93</v>
      </c>
      <c r="D1792">
        <v>937</v>
      </c>
      <c r="E1792" s="8">
        <v>2.0417057067526638</v>
      </c>
      <c r="F1792" s="7">
        <v>0.48978655282817501</v>
      </c>
      <c r="G1792">
        <v>2017</v>
      </c>
    </row>
    <row r="1793" spans="1:7" x14ac:dyDescent="0.25">
      <c r="A1793" t="s">
        <v>20</v>
      </c>
      <c r="B1793" s="3">
        <v>42887</v>
      </c>
      <c r="C1793" s="9">
        <v>441.61</v>
      </c>
      <c r="D1793">
        <v>937</v>
      </c>
      <c r="E1793" s="8">
        <v>2.1217816625529311</v>
      </c>
      <c r="F1793" s="7">
        <v>0.47130202774813235</v>
      </c>
      <c r="G1793">
        <v>2017</v>
      </c>
    </row>
    <row r="1794" spans="1:7" x14ac:dyDescent="0.25">
      <c r="A1794" t="s">
        <v>20</v>
      </c>
      <c r="B1794" s="3">
        <v>42917</v>
      </c>
      <c r="C1794" s="9">
        <v>445.83</v>
      </c>
      <c r="D1794">
        <v>937</v>
      </c>
      <c r="E1794" s="8">
        <v>2.1016979566202365</v>
      </c>
      <c r="F1794" s="7">
        <v>0.47580576307363925</v>
      </c>
      <c r="G1794">
        <v>2017</v>
      </c>
    </row>
    <row r="1795" spans="1:7" x14ac:dyDescent="0.25">
      <c r="A1795" t="s">
        <v>20</v>
      </c>
      <c r="B1795" s="3">
        <v>42948</v>
      </c>
      <c r="C1795" s="9">
        <v>431.66</v>
      </c>
      <c r="D1795">
        <v>937</v>
      </c>
      <c r="E1795" s="8">
        <v>2.1706898948246303</v>
      </c>
      <c r="F1795" s="7">
        <v>0.46068303094983992</v>
      </c>
      <c r="G1795">
        <v>2017</v>
      </c>
    </row>
    <row r="1796" spans="1:7" x14ac:dyDescent="0.25">
      <c r="A1796" t="s">
        <v>20</v>
      </c>
      <c r="B1796" s="3">
        <v>42979</v>
      </c>
      <c r="C1796" s="9">
        <v>421.02</v>
      </c>
      <c r="D1796">
        <v>937</v>
      </c>
      <c r="E1796" s="8">
        <v>2.2255474799296948</v>
      </c>
      <c r="F1796" s="7">
        <v>0.44932764140875131</v>
      </c>
      <c r="G1796">
        <v>2017</v>
      </c>
    </row>
    <row r="1797" spans="1:7" x14ac:dyDescent="0.25">
      <c r="A1797" t="s">
        <v>20</v>
      </c>
      <c r="B1797" s="3">
        <v>43009</v>
      </c>
      <c r="C1797" s="9">
        <v>428.13</v>
      </c>
      <c r="D1797">
        <v>937</v>
      </c>
      <c r="E1797" s="8">
        <v>2.1885875785392286</v>
      </c>
      <c r="F1797" s="7">
        <v>0.45691568836712915</v>
      </c>
      <c r="G1797">
        <v>2017</v>
      </c>
    </row>
    <row r="1798" spans="1:7" x14ac:dyDescent="0.25">
      <c r="A1798" t="s">
        <v>20</v>
      </c>
      <c r="B1798" s="3">
        <v>43040</v>
      </c>
      <c r="C1798" s="9">
        <v>423.23</v>
      </c>
      <c r="D1798">
        <v>937</v>
      </c>
      <c r="E1798" s="8">
        <v>2.2139262339626207</v>
      </c>
      <c r="F1798" s="7">
        <v>0.45168623265741731</v>
      </c>
      <c r="G1798">
        <v>2017</v>
      </c>
    </row>
    <row r="1799" spans="1:7" x14ac:dyDescent="0.25">
      <c r="A1799" t="s">
        <v>20</v>
      </c>
      <c r="B1799" s="3">
        <v>43070</v>
      </c>
      <c r="C1799" s="9">
        <v>424.36</v>
      </c>
      <c r="D1799">
        <v>937</v>
      </c>
      <c r="E1799" s="8">
        <v>2.2080309171458197</v>
      </c>
      <c r="F1799" s="7">
        <v>0.45289220917822842</v>
      </c>
      <c r="G1799">
        <v>2017</v>
      </c>
    </row>
    <row r="1800" spans="1:7" x14ac:dyDescent="0.25">
      <c r="A1800" t="s">
        <v>20</v>
      </c>
      <c r="B1800" s="3">
        <v>43101</v>
      </c>
      <c r="C1800" s="9">
        <v>439.2</v>
      </c>
      <c r="D1800">
        <v>954</v>
      </c>
      <c r="E1800" s="8">
        <v>2.1721311475409837</v>
      </c>
      <c r="F1800" s="7">
        <v>0.46037735849056605</v>
      </c>
      <c r="G1800">
        <v>2018</v>
      </c>
    </row>
    <row r="1801" spans="1:7" x14ac:dyDescent="0.25">
      <c r="A1801" t="s">
        <v>20</v>
      </c>
      <c r="B1801" s="3">
        <v>43132</v>
      </c>
      <c r="C1801" s="9">
        <v>437.33</v>
      </c>
      <c r="D1801">
        <v>954</v>
      </c>
      <c r="E1801" s="8">
        <v>2.1814190656940982</v>
      </c>
      <c r="F1801" s="7">
        <v>0.45841719077568133</v>
      </c>
      <c r="G1801">
        <v>2018</v>
      </c>
    </row>
    <row r="1802" spans="1:7" x14ac:dyDescent="0.25">
      <c r="A1802" t="s">
        <v>20</v>
      </c>
      <c r="B1802" s="3">
        <v>43160</v>
      </c>
      <c r="C1802" s="9">
        <v>437.84</v>
      </c>
      <c r="D1802">
        <v>954</v>
      </c>
      <c r="E1802" s="8">
        <v>2.1788781289968941</v>
      </c>
      <c r="F1802" s="7">
        <v>0.45895178197064984</v>
      </c>
      <c r="G1802">
        <v>2018</v>
      </c>
    </row>
    <row r="1803" spans="1:7" x14ac:dyDescent="0.25">
      <c r="A1803" t="s">
        <v>20</v>
      </c>
      <c r="B1803" s="3">
        <v>43191</v>
      </c>
      <c r="C1803" s="9">
        <v>434.8</v>
      </c>
      <c r="D1803">
        <v>954</v>
      </c>
      <c r="E1803" s="8">
        <v>2.1941122355105795</v>
      </c>
      <c r="F1803" s="7">
        <v>0.4557651991614256</v>
      </c>
      <c r="G1803">
        <v>2018</v>
      </c>
    </row>
    <row r="1804" spans="1:7" x14ac:dyDescent="0.25">
      <c r="A1804" t="s">
        <v>20</v>
      </c>
      <c r="B1804" s="3">
        <v>43221</v>
      </c>
      <c r="C1804" s="9">
        <v>441.16</v>
      </c>
      <c r="D1804">
        <v>954</v>
      </c>
      <c r="E1804" s="8">
        <v>2.1624807326140174</v>
      </c>
      <c r="F1804" s="7">
        <v>0.46243186582809226</v>
      </c>
      <c r="G1804">
        <v>2018</v>
      </c>
    </row>
    <row r="1805" spans="1:7" x14ac:dyDescent="0.25">
      <c r="A1805" t="s">
        <v>20</v>
      </c>
      <c r="B1805" s="3">
        <v>43252</v>
      </c>
      <c r="C1805" s="9">
        <v>451.63</v>
      </c>
      <c r="D1805">
        <v>954</v>
      </c>
      <c r="E1805" s="8">
        <v>2.112348603945708</v>
      </c>
      <c r="F1805" s="7">
        <v>0.47340670859538786</v>
      </c>
      <c r="G1805">
        <v>2018</v>
      </c>
    </row>
    <row r="1806" spans="1:7" x14ac:dyDescent="0.25">
      <c r="A1806" t="s">
        <v>20</v>
      </c>
      <c r="B1806" s="3">
        <v>43282</v>
      </c>
      <c r="C1806" s="9">
        <v>437.42</v>
      </c>
      <c r="D1806">
        <v>954</v>
      </c>
      <c r="E1806" s="8">
        <v>2.1809702345571762</v>
      </c>
      <c r="F1806" s="7">
        <v>0.45851153039832288</v>
      </c>
      <c r="G1806">
        <v>2018</v>
      </c>
    </row>
    <row r="1807" spans="1:7" x14ac:dyDescent="0.25">
      <c r="A1807" t="s">
        <v>20</v>
      </c>
      <c r="B1807" s="3">
        <v>43313</v>
      </c>
      <c r="C1807" s="9">
        <v>432.81</v>
      </c>
      <c r="D1807">
        <v>954</v>
      </c>
      <c r="E1807" s="8">
        <v>2.2042004574755665</v>
      </c>
      <c r="F1807" s="7">
        <v>0.45367924528301889</v>
      </c>
      <c r="G1807">
        <v>2018</v>
      </c>
    </row>
    <row r="1808" spans="1:7" x14ac:dyDescent="0.25">
      <c r="A1808" t="s">
        <v>20</v>
      </c>
      <c r="B1808" s="3">
        <v>43344</v>
      </c>
      <c r="C1808" s="9">
        <v>432.83</v>
      </c>
      <c r="D1808">
        <v>954</v>
      </c>
      <c r="E1808" s="8">
        <v>2.2040986068433335</v>
      </c>
      <c r="F1808" s="7">
        <v>0.45370020964360586</v>
      </c>
      <c r="G1808">
        <v>2018</v>
      </c>
    </row>
    <row r="1809" spans="1:7" x14ac:dyDescent="0.25">
      <c r="A1809" t="s">
        <v>20</v>
      </c>
      <c r="B1809" s="3">
        <v>43374</v>
      </c>
      <c r="C1809" s="9">
        <v>446.02</v>
      </c>
      <c r="D1809">
        <v>954</v>
      </c>
      <c r="E1809" s="8">
        <v>2.1389175373301645</v>
      </c>
      <c r="F1809" s="7">
        <v>0.46752620545073376</v>
      </c>
      <c r="G1809">
        <v>2018</v>
      </c>
    </row>
    <row r="1810" spans="1:7" x14ac:dyDescent="0.25">
      <c r="A1810" t="s">
        <v>20</v>
      </c>
      <c r="B1810" s="3">
        <v>43405</v>
      </c>
      <c r="C1810" s="9">
        <v>471.37</v>
      </c>
      <c r="D1810">
        <v>954</v>
      </c>
      <c r="E1810" s="8">
        <v>2.0238878163650633</v>
      </c>
      <c r="F1810" s="7">
        <v>0.49409853249475894</v>
      </c>
      <c r="G1810">
        <v>2018</v>
      </c>
    </row>
    <row r="1811" spans="1:7" x14ac:dyDescent="0.25">
      <c r="A1811" t="s">
        <v>20</v>
      </c>
      <c r="B1811" s="3">
        <v>43435</v>
      </c>
      <c r="C1811" s="9">
        <v>471.44</v>
      </c>
      <c r="D1811">
        <v>954</v>
      </c>
      <c r="E1811" s="8">
        <v>2.0235873069743766</v>
      </c>
      <c r="F1811" s="7">
        <v>0.49417190775681341</v>
      </c>
      <c r="G1811">
        <v>2018</v>
      </c>
    </row>
    <row r="1812" spans="1:7" x14ac:dyDescent="0.25">
      <c r="A1812" t="s">
        <v>20</v>
      </c>
      <c r="B1812" s="3">
        <v>43466</v>
      </c>
      <c r="C1812" s="9">
        <v>467.65</v>
      </c>
      <c r="D1812">
        <v>998</v>
      </c>
      <c r="E1812" s="8">
        <v>2.1340746284614562</v>
      </c>
      <c r="F1812" s="7">
        <v>0.4685871743486974</v>
      </c>
      <c r="G1812">
        <v>2019</v>
      </c>
    </row>
    <row r="1813" spans="1:7" x14ac:dyDescent="0.25">
      <c r="A1813" t="s">
        <v>20</v>
      </c>
      <c r="B1813" s="3">
        <v>43497</v>
      </c>
      <c r="C1813" s="9">
        <v>482.4</v>
      </c>
      <c r="D1813">
        <v>998</v>
      </c>
      <c r="E1813" s="8">
        <v>2.0688225538971809</v>
      </c>
      <c r="F1813" s="7">
        <v>0.48336673346693382</v>
      </c>
      <c r="G1813">
        <v>2019</v>
      </c>
    </row>
    <row r="1814" spans="1:7" x14ac:dyDescent="0.25">
      <c r="A1814" t="s">
        <v>20</v>
      </c>
      <c r="B1814" s="3">
        <v>43525</v>
      </c>
      <c r="C1814" s="9">
        <v>509.11</v>
      </c>
      <c r="D1814">
        <v>998</v>
      </c>
      <c r="E1814" s="8">
        <v>1.9602836322209345</v>
      </c>
      <c r="F1814" s="7">
        <v>0.51013026052104204</v>
      </c>
      <c r="G1814">
        <v>2019</v>
      </c>
    </row>
    <row r="1815" spans="1:7" x14ac:dyDescent="0.25">
      <c r="A1815" t="s">
        <v>20</v>
      </c>
      <c r="B1815" s="3">
        <v>43556</v>
      </c>
      <c r="C1815" s="9">
        <v>522.04999999999995</v>
      </c>
      <c r="D1815">
        <v>998</v>
      </c>
      <c r="E1815" s="8">
        <v>1.9116942821568816</v>
      </c>
      <c r="F1815" s="7">
        <v>0.52309619238476945</v>
      </c>
      <c r="G1815">
        <v>2019</v>
      </c>
    </row>
    <row r="1816" spans="1:7" x14ac:dyDescent="0.25">
      <c r="A1816" t="s">
        <v>20</v>
      </c>
      <c r="B1816" s="3">
        <v>43586</v>
      </c>
      <c r="C1816" s="9">
        <v>507.07</v>
      </c>
      <c r="D1816">
        <v>998</v>
      </c>
      <c r="E1816" s="8">
        <v>1.968170075137555</v>
      </c>
      <c r="F1816" s="7">
        <v>0.50808617234468934</v>
      </c>
      <c r="G1816">
        <v>2019</v>
      </c>
    </row>
    <row r="1817" spans="1:7" x14ac:dyDescent="0.25">
      <c r="A1817" t="s">
        <v>20</v>
      </c>
      <c r="B1817" s="3">
        <v>43617</v>
      </c>
      <c r="C1817" s="9">
        <v>501.68</v>
      </c>
      <c r="D1817">
        <v>998</v>
      </c>
      <c r="E1817" s="8">
        <v>1.9893158985807686</v>
      </c>
      <c r="F1817" s="7">
        <v>0.50268537074148301</v>
      </c>
      <c r="G1817">
        <v>2019</v>
      </c>
    </row>
    <row r="1818" spans="1:7" x14ac:dyDescent="0.25">
      <c r="A1818" t="s">
        <v>20</v>
      </c>
      <c r="B1818" s="3">
        <v>43647</v>
      </c>
      <c r="C1818" s="9">
        <v>493.16</v>
      </c>
      <c r="D1818">
        <v>998</v>
      </c>
      <c r="E1818" s="8">
        <v>2.0236839970800551</v>
      </c>
      <c r="F1818" s="7">
        <v>0.49414829659318638</v>
      </c>
      <c r="G1818">
        <v>2019</v>
      </c>
    </row>
    <row r="1819" spans="1:7" x14ac:dyDescent="0.25">
      <c r="A1819" t="s">
        <v>20</v>
      </c>
      <c r="B1819" s="3">
        <v>43678</v>
      </c>
      <c r="C1819" s="9">
        <v>481.44</v>
      </c>
      <c r="D1819">
        <v>998</v>
      </c>
      <c r="E1819" s="8">
        <v>2.0729478231970755</v>
      </c>
      <c r="F1819" s="7">
        <v>0.48240480961923848</v>
      </c>
      <c r="G1819">
        <v>2019</v>
      </c>
    </row>
    <row r="1820" spans="1:7" x14ac:dyDescent="0.25">
      <c r="A1820" t="s">
        <v>20</v>
      </c>
      <c r="B1820" s="3">
        <v>43709</v>
      </c>
      <c r="C1820" s="9">
        <v>473.85</v>
      </c>
      <c r="D1820">
        <v>998</v>
      </c>
      <c r="E1820" s="8">
        <v>2.1061517357813653</v>
      </c>
      <c r="F1820" s="7">
        <v>0.47479959919839682</v>
      </c>
      <c r="G1820">
        <v>2019</v>
      </c>
    </row>
    <row r="1821" spans="1:7" x14ac:dyDescent="0.25">
      <c r="A1821" t="s">
        <v>20</v>
      </c>
      <c r="B1821" s="3">
        <v>43739</v>
      </c>
      <c r="C1821" s="9">
        <v>473.59</v>
      </c>
      <c r="D1821">
        <v>998</v>
      </c>
      <c r="E1821" s="8">
        <v>2.1073080090373533</v>
      </c>
      <c r="F1821" s="7">
        <v>0.47453907815631258</v>
      </c>
      <c r="G1821">
        <v>2019</v>
      </c>
    </row>
    <row r="1822" spans="1:7" x14ac:dyDescent="0.25">
      <c r="A1822" t="s">
        <v>20</v>
      </c>
      <c r="B1822" s="3">
        <v>43770</v>
      </c>
      <c r="C1822" s="9">
        <v>465.81</v>
      </c>
      <c r="D1822">
        <v>998</v>
      </c>
      <c r="E1822" s="8">
        <v>2.1425044546059553</v>
      </c>
      <c r="F1822" s="7">
        <v>0.46674348697394791</v>
      </c>
      <c r="G1822">
        <v>2019</v>
      </c>
    </row>
    <row r="1823" spans="1:7" x14ac:dyDescent="0.25">
      <c r="A1823" t="s">
        <v>20</v>
      </c>
      <c r="B1823" s="3">
        <v>43800</v>
      </c>
      <c r="C1823" s="9">
        <v>506.5</v>
      </c>
      <c r="D1823">
        <v>998</v>
      </c>
      <c r="E1823" s="8">
        <v>1.9703849950641659</v>
      </c>
      <c r="F1823" s="7">
        <v>0.50751503006012022</v>
      </c>
      <c r="G1823">
        <v>2019</v>
      </c>
    </row>
    <row r="1824" spans="1:7" x14ac:dyDescent="0.25">
      <c r="A1824" t="s">
        <v>20</v>
      </c>
      <c r="B1824" s="3">
        <v>43831</v>
      </c>
      <c r="C1824" s="9">
        <v>517.51</v>
      </c>
      <c r="D1824">
        <v>1039</v>
      </c>
      <c r="E1824" s="8">
        <v>2.0076906726440069</v>
      </c>
      <c r="F1824" s="7">
        <v>0.49808469682386908</v>
      </c>
      <c r="G1824">
        <v>2020</v>
      </c>
    </row>
    <row r="1825" spans="1:7" x14ac:dyDescent="0.25">
      <c r="A1825" t="s">
        <v>20</v>
      </c>
      <c r="B1825" s="3">
        <v>43862</v>
      </c>
      <c r="C1825" s="9">
        <v>519.76</v>
      </c>
      <c r="D1825">
        <v>1045</v>
      </c>
      <c r="E1825" s="8">
        <v>2.0105433276897031</v>
      </c>
      <c r="F1825" s="7">
        <v>0.49737799043062197</v>
      </c>
      <c r="G1825">
        <v>2020</v>
      </c>
    </row>
    <row r="1826" spans="1:7" x14ac:dyDescent="0.25">
      <c r="A1826" t="s">
        <v>20</v>
      </c>
      <c r="B1826" s="3">
        <v>43891</v>
      </c>
      <c r="C1826" s="9">
        <v>518.5</v>
      </c>
      <c r="D1826">
        <v>1045</v>
      </c>
      <c r="E1826" s="8">
        <v>2.0154291224686598</v>
      </c>
      <c r="F1826" s="7">
        <v>0.49617224880382776</v>
      </c>
      <c r="G1826">
        <v>2020</v>
      </c>
    </row>
    <row r="1827" spans="1:7" x14ac:dyDescent="0.25">
      <c r="A1827" t="s">
        <v>20</v>
      </c>
      <c r="B1827" s="3">
        <v>43922</v>
      </c>
      <c r="C1827" s="9">
        <v>556.25</v>
      </c>
      <c r="D1827">
        <v>1045</v>
      </c>
      <c r="E1827" s="8">
        <v>1.8786516853932584</v>
      </c>
      <c r="F1827" s="7">
        <v>0.53229665071770338</v>
      </c>
      <c r="G1827">
        <v>2020</v>
      </c>
    </row>
    <row r="1828" spans="1:7" x14ac:dyDescent="0.25">
      <c r="A1828" t="s">
        <v>20</v>
      </c>
      <c r="B1828" s="3">
        <v>43952</v>
      </c>
      <c r="C1828" s="9">
        <v>556.36</v>
      </c>
      <c r="D1828">
        <v>1045</v>
      </c>
      <c r="E1828" s="8">
        <v>1.8782802501977136</v>
      </c>
      <c r="F1828" s="7">
        <v>0.5324019138755981</v>
      </c>
      <c r="G1828">
        <v>2020</v>
      </c>
    </row>
    <row r="1829" spans="1:7" x14ac:dyDescent="0.25">
      <c r="A1829" t="s">
        <v>20</v>
      </c>
      <c r="B1829" s="3">
        <v>43983</v>
      </c>
      <c r="C1829" s="9">
        <v>547.03</v>
      </c>
      <c r="D1829">
        <v>1045</v>
      </c>
      <c r="E1829" s="8">
        <v>1.9103157048059523</v>
      </c>
      <c r="F1829" s="7">
        <v>0.52347368421052631</v>
      </c>
      <c r="G1829">
        <v>2020</v>
      </c>
    </row>
    <row r="1830" spans="1:7" x14ac:dyDescent="0.25">
      <c r="A1830" t="s">
        <v>20</v>
      </c>
      <c r="B1830" s="3">
        <v>44013</v>
      </c>
      <c r="C1830" s="9">
        <v>524.74</v>
      </c>
      <c r="D1830">
        <v>1045</v>
      </c>
      <c r="E1830" s="8">
        <v>1.9914624385409916</v>
      </c>
      <c r="F1830" s="7">
        <v>0.50214354066985645</v>
      </c>
      <c r="G1830">
        <v>2020</v>
      </c>
    </row>
    <row r="1831" spans="1:7" x14ac:dyDescent="0.25">
      <c r="A1831" t="s">
        <v>20</v>
      </c>
      <c r="B1831" s="3">
        <v>44044</v>
      </c>
      <c r="C1831" s="9">
        <v>539.95000000000005</v>
      </c>
      <c r="D1831">
        <v>1045</v>
      </c>
      <c r="E1831" s="8">
        <v>1.9353643855912583</v>
      </c>
      <c r="F1831" s="7">
        <v>0.51669856459330143</v>
      </c>
      <c r="G1831">
        <v>2020</v>
      </c>
    </row>
    <row r="1832" spans="1:7" x14ac:dyDescent="0.25">
      <c r="A1832" t="s">
        <v>20</v>
      </c>
      <c r="B1832" s="3">
        <v>44075</v>
      </c>
      <c r="C1832" s="9">
        <v>563.35</v>
      </c>
      <c r="D1832">
        <v>1045</v>
      </c>
      <c r="E1832" s="8">
        <v>1.8549747048903877</v>
      </c>
      <c r="F1832" s="7">
        <v>0.53909090909090907</v>
      </c>
      <c r="G1832">
        <v>2020</v>
      </c>
    </row>
    <row r="1833" spans="1:7" x14ac:dyDescent="0.25">
      <c r="A1833" t="s">
        <v>20</v>
      </c>
      <c r="B1833" s="3">
        <v>44105</v>
      </c>
      <c r="C1833" s="9">
        <v>595.87</v>
      </c>
      <c r="D1833">
        <v>1045</v>
      </c>
      <c r="E1833" s="8">
        <v>1.7537382314934467</v>
      </c>
      <c r="F1833" s="7">
        <v>0.5702105263157895</v>
      </c>
      <c r="G1833">
        <v>2020</v>
      </c>
    </row>
    <row r="1834" spans="1:7" x14ac:dyDescent="0.25">
      <c r="A1834" t="s">
        <v>20</v>
      </c>
      <c r="B1834" s="3">
        <v>44136</v>
      </c>
      <c r="C1834" s="9">
        <v>629.17999999999995</v>
      </c>
      <c r="D1834">
        <v>1045</v>
      </c>
      <c r="E1834" s="8">
        <v>1.6608919546075847</v>
      </c>
      <c r="F1834" s="7">
        <v>0.60208612440191378</v>
      </c>
      <c r="G1834">
        <v>2020</v>
      </c>
    </row>
    <row r="1835" spans="1:7" x14ac:dyDescent="0.25">
      <c r="A1835" t="s">
        <v>20</v>
      </c>
      <c r="B1835" s="3">
        <v>44166</v>
      </c>
      <c r="C1835" s="9">
        <v>631.46</v>
      </c>
      <c r="D1835">
        <v>1045</v>
      </c>
      <c r="E1835" s="8">
        <v>1.6548950052259841</v>
      </c>
      <c r="F1835" s="7">
        <v>0.60426794258373207</v>
      </c>
      <c r="G1835">
        <v>2020</v>
      </c>
    </row>
    <row r="1836" spans="1:7" x14ac:dyDescent="0.25">
      <c r="A1836" t="s">
        <v>20</v>
      </c>
      <c r="B1836" s="3">
        <v>44197</v>
      </c>
      <c r="C1836" s="9">
        <v>654.15</v>
      </c>
      <c r="D1836">
        <v>1100</v>
      </c>
      <c r="E1836" s="8">
        <v>1.681571505006497</v>
      </c>
      <c r="F1836" s="7">
        <v>0.5946818181818182</v>
      </c>
      <c r="G1836">
        <v>2021</v>
      </c>
    </row>
    <row r="1837" spans="1:7" x14ac:dyDescent="0.25">
      <c r="A1837" t="s">
        <v>20</v>
      </c>
      <c r="B1837" s="3">
        <v>44228</v>
      </c>
      <c r="C1837" s="9">
        <v>639.47</v>
      </c>
      <c r="D1837">
        <v>1100</v>
      </c>
      <c r="E1837" s="8">
        <v>1.7201745195239808</v>
      </c>
      <c r="F1837" s="7">
        <v>0.58133636363636365</v>
      </c>
      <c r="G1837">
        <v>2021</v>
      </c>
    </row>
    <row r="1838" spans="1:7" x14ac:dyDescent="0.25">
      <c r="A1838" t="s">
        <v>20</v>
      </c>
      <c r="B1838" s="3">
        <v>44256</v>
      </c>
      <c r="C1838" s="9">
        <v>626</v>
      </c>
      <c r="D1838">
        <v>1100</v>
      </c>
      <c r="E1838" s="8">
        <v>1.7571884984025559</v>
      </c>
      <c r="F1838" s="7">
        <v>0.56909090909090909</v>
      </c>
      <c r="G1838">
        <v>2021</v>
      </c>
    </row>
    <row r="1839" spans="1:7" x14ac:dyDescent="0.25">
      <c r="A1839" t="s">
        <v>20</v>
      </c>
      <c r="B1839" s="3">
        <v>44287</v>
      </c>
      <c r="C1839" s="9">
        <v>632.61</v>
      </c>
      <c r="D1839">
        <v>1100</v>
      </c>
      <c r="E1839" s="8">
        <v>1.738828029907842</v>
      </c>
      <c r="F1839" s="7">
        <v>0.57510000000000006</v>
      </c>
      <c r="G1839">
        <v>2021</v>
      </c>
    </row>
    <row r="1840" spans="1:7" x14ac:dyDescent="0.25">
      <c r="A1840" t="s">
        <v>20</v>
      </c>
      <c r="B1840" s="3">
        <v>44317</v>
      </c>
      <c r="C1840" s="9">
        <v>636.4</v>
      </c>
      <c r="D1840">
        <v>1100</v>
      </c>
      <c r="E1840" s="8">
        <v>1.7284726587052168</v>
      </c>
      <c r="F1840" s="7">
        <v>0.57854545454545447</v>
      </c>
      <c r="G1840">
        <v>2021</v>
      </c>
    </row>
    <row r="1841" spans="1:7" x14ac:dyDescent="0.25">
      <c r="A1841" t="s">
        <v>20</v>
      </c>
      <c r="B1841" s="3">
        <v>44348</v>
      </c>
      <c r="C1841" s="9">
        <v>626.76</v>
      </c>
      <c r="D1841">
        <v>1100</v>
      </c>
      <c r="E1841" s="8">
        <v>1.7550577573552875</v>
      </c>
      <c r="F1841" s="7">
        <v>0.56978181818181817</v>
      </c>
      <c r="G1841">
        <v>2021</v>
      </c>
    </row>
    <row r="1842" spans="1:7" x14ac:dyDescent="0.25">
      <c r="A1842" t="s">
        <v>20</v>
      </c>
      <c r="B1842" s="3">
        <v>44378</v>
      </c>
      <c r="C1842" s="9">
        <v>640.51</v>
      </c>
      <c r="D1842">
        <v>1100</v>
      </c>
      <c r="E1842" s="8">
        <v>1.7173814616477494</v>
      </c>
      <c r="F1842" s="7">
        <v>0.58228181818181812</v>
      </c>
      <c r="G1842">
        <v>2021</v>
      </c>
    </row>
    <row r="1843" spans="1:7" x14ac:dyDescent="0.25">
      <c r="A1843" t="s">
        <v>20</v>
      </c>
      <c r="B1843" s="3">
        <v>44409</v>
      </c>
      <c r="C1843" s="9">
        <v>650.5</v>
      </c>
      <c r="D1843">
        <v>1100</v>
      </c>
      <c r="E1843" s="8">
        <v>1.6910069177555727</v>
      </c>
      <c r="F1843" s="7">
        <v>0.59136363636363631</v>
      </c>
      <c r="G1843">
        <v>2021</v>
      </c>
    </row>
    <row r="1844" spans="1:7" x14ac:dyDescent="0.25">
      <c r="A1844" t="s">
        <v>20</v>
      </c>
      <c r="B1844" s="3">
        <v>44440</v>
      </c>
      <c r="C1844" s="9">
        <v>673.45</v>
      </c>
      <c r="D1844">
        <v>1100</v>
      </c>
      <c r="E1844" s="8">
        <v>1.6333803548890042</v>
      </c>
      <c r="F1844" s="7">
        <v>0.61222727272727273</v>
      </c>
      <c r="G1844">
        <v>2021</v>
      </c>
    </row>
    <row r="1845" spans="1:7" x14ac:dyDescent="0.25">
      <c r="A1845" t="s">
        <v>20</v>
      </c>
      <c r="B1845" s="3">
        <v>44470</v>
      </c>
      <c r="C1845" s="9">
        <v>693.79</v>
      </c>
      <c r="D1845">
        <v>1100</v>
      </c>
      <c r="E1845" s="8">
        <v>1.5854941697055305</v>
      </c>
      <c r="F1845" s="7">
        <v>0.63071818181818173</v>
      </c>
      <c r="G1845">
        <v>2021</v>
      </c>
    </row>
    <row r="1846" spans="1:7" x14ac:dyDescent="0.25">
      <c r="A1846" t="s">
        <v>20</v>
      </c>
      <c r="B1846" s="3">
        <v>44501</v>
      </c>
      <c r="C1846" s="9">
        <v>692.27</v>
      </c>
      <c r="D1846">
        <v>1100</v>
      </c>
      <c r="E1846" s="8">
        <v>1.5889753997717655</v>
      </c>
      <c r="F1846" s="7">
        <v>0.62933636363636358</v>
      </c>
      <c r="G1846">
        <v>2021</v>
      </c>
    </row>
    <row r="1847" spans="1:7" x14ac:dyDescent="0.25">
      <c r="A1847" t="s">
        <v>20</v>
      </c>
      <c r="B1847" s="3">
        <v>44531</v>
      </c>
      <c r="C1847" s="9">
        <v>690.51</v>
      </c>
      <c r="D1847">
        <v>1100</v>
      </c>
      <c r="E1847" s="8">
        <v>1.5930254449609709</v>
      </c>
      <c r="F1847" s="7">
        <v>0.62773636363636365</v>
      </c>
      <c r="G1847">
        <v>2021</v>
      </c>
    </row>
    <row r="1848" spans="1:7" x14ac:dyDescent="0.25">
      <c r="A1848" t="s">
        <v>20</v>
      </c>
      <c r="B1848" s="3">
        <v>44562</v>
      </c>
      <c r="C1848" s="9">
        <v>713.86</v>
      </c>
      <c r="D1848">
        <v>1212</v>
      </c>
      <c r="E1848" s="8">
        <v>1.6978118958899504</v>
      </c>
      <c r="F1848" s="7">
        <v>0.588993399339934</v>
      </c>
      <c r="G1848">
        <v>2022</v>
      </c>
    </row>
    <row r="1849" spans="1:7" x14ac:dyDescent="0.25">
      <c r="A1849" t="s">
        <v>20</v>
      </c>
      <c r="B1849" s="3">
        <v>44593</v>
      </c>
      <c r="C1849" s="9">
        <v>715.65</v>
      </c>
      <c r="D1849">
        <v>1212</v>
      </c>
      <c r="E1849" s="8">
        <v>1.6935652902955356</v>
      </c>
      <c r="F1849" s="7">
        <v>0.590470297029703</v>
      </c>
      <c r="G1849">
        <v>2022</v>
      </c>
    </row>
    <row r="1850" spans="1:7" x14ac:dyDescent="0.25">
      <c r="A1850" t="s">
        <v>20</v>
      </c>
      <c r="B1850" s="3">
        <v>44621</v>
      </c>
      <c r="C1850" s="9">
        <v>761.19</v>
      </c>
      <c r="D1850">
        <v>1212</v>
      </c>
      <c r="E1850" s="8">
        <v>1.5922437236432427</v>
      </c>
      <c r="F1850" s="7">
        <v>0.6280445544554456</v>
      </c>
      <c r="G1850">
        <v>2022</v>
      </c>
    </row>
    <row r="1851" spans="1:7" x14ac:dyDescent="0.25">
      <c r="A1851" t="s">
        <v>20</v>
      </c>
      <c r="B1851" s="3">
        <v>44652</v>
      </c>
      <c r="C1851" s="9">
        <v>803.99</v>
      </c>
      <c r="D1851">
        <v>1212</v>
      </c>
      <c r="E1851" s="8">
        <v>1.5074814363362727</v>
      </c>
      <c r="F1851" s="7">
        <v>0.66335808580858091</v>
      </c>
      <c r="G1851">
        <v>2022</v>
      </c>
    </row>
    <row r="1852" spans="1:7" x14ac:dyDescent="0.25">
      <c r="A1852" t="s">
        <v>20</v>
      </c>
      <c r="B1852" s="3">
        <v>44682</v>
      </c>
      <c r="C1852" s="9">
        <v>777.93</v>
      </c>
      <c r="D1852">
        <v>1212</v>
      </c>
      <c r="E1852" s="8">
        <v>1.5579807951872278</v>
      </c>
      <c r="F1852" s="7">
        <v>0.64185643564356432</v>
      </c>
      <c r="G1852">
        <v>2022</v>
      </c>
    </row>
    <row r="1853" spans="1:7" x14ac:dyDescent="0.25">
      <c r="A1853" t="s">
        <v>20</v>
      </c>
      <c r="B1853" s="3">
        <v>44713</v>
      </c>
      <c r="C1853" s="9">
        <v>777.01</v>
      </c>
      <c r="D1853">
        <v>1212</v>
      </c>
      <c r="E1853" s="8">
        <v>1.5598254848714945</v>
      </c>
      <c r="F1853" s="7">
        <v>0.64109735973597359</v>
      </c>
      <c r="G1853">
        <v>2022</v>
      </c>
    </row>
    <row r="1854" spans="1:7" x14ac:dyDescent="0.25">
      <c r="A1854" t="s">
        <v>20</v>
      </c>
      <c r="B1854" s="3">
        <v>44743</v>
      </c>
      <c r="C1854" s="9">
        <v>760.45</v>
      </c>
      <c r="D1854">
        <v>1212</v>
      </c>
      <c r="E1854" s="8">
        <v>1.5937931487934776</v>
      </c>
      <c r="F1854" s="7">
        <v>0.62743399339933992</v>
      </c>
      <c r="G1854">
        <v>2022</v>
      </c>
    </row>
    <row r="1855" spans="1:7" x14ac:dyDescent="0.25">
      <c r="A1855" t="s">
        <v>20</v>
      </c>
      <c r="B1855" s="3">
        <v>44774</v>
      </c>
      <c r="C1855" s="9">
        <v>749.78</v>
      </c>
      <c r="D1855">
        <v>1212</v>
      </c>
      <c r="E1855" s="8">
        <v>1.6164741657552884</v>
      </c>
      <c r="F1855" s="7">
        <v>0.61863036303630359</v>
      </c>
      <c r="G1855">
        <v>2022</v>
      </c>
    </row>
    <row r="1856" spans="1:7" x14ac:dyDescent="0.25">
      <c r="A1856" t="s">
        <v>20</v>
      </c>
      <c r="B1856" s="3">
        <v>44805</v>
      </c>
      <c r="C1856" s="9">
        <v>750.74</v>
      </c>
      <c r="D1856">
        <v>1212</v>
      </c>
      <c r="E1856" s="8">
        <v>1.6144071183099342</v>
      </c>
      <c r="F1856" s="7">
        <v>0.61942244224422438</v>
      </c>
      <c r="G1856">
        <v>2022</v>
      </c>
    </row>
    <row r="1857" spans="1:7" x14ac:dyDescent="0.25">
      <c r="A1857" t="s">
        <v>20</v>
      </c>
      <c r="B1857" s="3">
        <v>44835</v>
      </c>
      <c r="C1857" s="9">
        <v>762.2</v>
      </c>
      <c r="D1857">
        <v>1212</v>
      </c>
      <c r="E1857" s="8">
        <v>1.5901338231435318</v>
      </c>
      <c r="F1857" s="7">
        <v>0.62887788778877896</v>
      </c>
      <c r="G1857">
        <v>2022</v>
      </c>
    </row>
    <row r="1858" spans="1:7" x14ac:dyDescent="0.25">
      <c r="A1858" t="s">
        <v>20</v>
      </c>
      <c r="B1858" s="3">
        <v>44866</v>
      </c>
      <c r="C1858" s="9">
        <v>782.68</v>
      </c>
      <c r="D1858">
        <v>1212</v>
      </c>
      <c r="E1858" s="8">
        <v>1.5485255787806</v>
      </c>
      <c r="F1858" s="7">
        <v>0.64577557755775572</v>
      </c>
      <c r="G1858">
        <v>2022</v>
      </c>
    </row>
    <row r="1859" spans="1:7" x14ac:dyDescent="0.25">
      <c r="A1859" t="s">
        <v>20</v>
      </c>
      <c r="B1859" s="3">
        <v>44896</v>
      </c>
      <c r="C1859" s="9">
        <v>791.29</v>
      </c>
      <c r="D1859">
        <v>1212</v>
      </c>
      <c r="E1859" s="8">
        <v>1.5316761237978491</v>
      </c>
      <c r="F1859" s="7">
        <v>0.65287953795379539</v>
      </c>
      <c r="G1859">
        <v>2022</v>
      </c>
    </row>
    <row r="1860" spans="1:7" x14ac:dyDescent="0.25">
      <c r="A1860" t="s">
        <v>20</v>
      </c>
      <c r="B1860" s="3">
        <v>44927</v>
      </c>
      <c r="C1860" s="9">
        <v>790.57</v>
      </c>
      <c r="D1860">
        <v>1302</v>
      </c>
      <c r="E1860" s="8">
        <v>1.6469129868322854</v>
      </c>
      <c r="F1860" s="7">
        <v>0.60719662058371737</v>
      </c>
      <c r="G1860">
        <v>2023</v>
      </c>
    </row>
    <row r="1861" spans="1:7" x14ac:dyDescent="0.25">
      <c r="A1861" t="s">
        <v>20</v>
      </c>
      <c r="B1861" s="3">
        <v>44958</v>
      </c>
      <c r="C1861" s="9">
        <v>779.38</v>
      </c>
      <c r="D1861">
        <v>1302</v>
      </c>
      <c r="E1861" s="8">
        <v>1.6705586491826836</v>
      </c>
      <c r="F1861" s="7">
        <v>0.59860215053763444</v>
      </c>
      <c r="G1861">
        <v>2023</v>
      </c>
    </row>
    <row r="1862" spans="1:7" x14ac:dyDescent="0.25">
      <c r="A1862" t="s">
        <v>20</v>
      </c>
      <c r="B1862" s="3">
        <v>44986</v>
      </c>
      <c r="C1862" s="9">
        <v>782.23</v>
      </c>
      <c r="D1862">
        <v>1302</v>
      </c>
      <c r="E1862" s="8">
        <v>1.6644720862150517</v>
      </c>
      <c r="F1862" s="7">
        <v>0.6007910906298003</v>
      </c>
      <c r="G1862">
        <v>2023</v>
      </c>
    </row>
    <row r="1863" spans="1:7" x14ac:dyDescent="0.25">
      <c r="A1863" t="s">
        <v>20</v>
      </c>
      <c r="B1863" s="3">
        <v>45017</v>
      </c>
      <c r="C1863" s="9">
        <v>794.68</v>
      </c>
      <c r="D1863">
        <v>1302</v>
      </c>
      <c r="E1863" s="8">
        <v>1.638395328937434</v>
      </c>
      <c r="F1863" s="7">
        <v>0.61035330261136711</v>
      </c>
      <c r="G1863">
        <v>2023</v>
      </c>
    </row>
    <row r="1864" spans="1:7" x14ac:dyDescent="0.25">
      <c r="A1864" t="s">
        <v>20</v>
      </c>
      <c r="B1864" s="3">
        <v>45047</v>
      </c>
      <c r="C1864" s="9">
        <v>791.82</v>
      </c>
      <c r="D1864">
        <v>1320</v>
      </c>
      <c r="E1864" s="8">
        <v>1.6670455406531786</v>
      </c>
      <c r="F1864" s="7">
        <v>0.59986363636363638</v>
      </c>
      <c r="G1864">
        <v>2023</v>
      </c>
    </row>
    <row r="1865" spans="1:7" x14ac:dyDescent="0.25">
      <c r="A1865" t="s">
        <v>20</v>
      </c>
      <c r="B1865" s="3">
        <v>45078</v>
      </c>
      <c r="C1865" s="9">
        <v>783.05</v>
      </c>
      <c r="D1865">
        <v>1320</v>
      </c>
      <c r="E1865" s="8">
        <v>1.6857161100823703</v>
      </c>
      <c r="F1865" s="7">
        <v>0.5932196969696969</v>
      </c>
      <c r="G1865">
        <v>2023</v>
      </c>
    </row>
    <row r="1866" spans="1:7" x14ac:dyDescent="0.25">
      <c r="A1866" t="s">
        <v>20</v>
      </c>
      <c r="B1866" s="3">
        <v>45108</v>
      </c>
      <c r="C1866" s="9">
        <v>769.95</v>
      </c>
      <c r="D1866">
        <v>1320</v>
      </c>
      <c r="E1866" s="8">
        <v>1.714397038768751</v>
      </c>
      <c r="F1866" s="7">
        <v>0.58329545454545462</v>
      </c>
      <c r="G1866">
        <v>2023</v>
      </c>
    </row>
    <row r="1867" spans="1:7" x14ac:dyDescent="0.25">
      <c r="A1867" t="s">
        <v>20</v>
      </c>
      <c r="B1867" s="3">
        <v>45139</v>
      </c>
      <c r="C1867" s="9">
        <v>748.47</v>
      </c>
      <c r="D1867">
        <v>1320</v>
      </c>
      <c r="E1867" s="8">
        <v>1.7635977393883522</v>
      </c>
      <c r="F1867" s="7">
        <v>0.56702272727272729</v>
      </c>
      <c r="G1867">
        <v>2023</v>
      </c>
    </row>
    <row r="1868" spans="1:7" x14ac:dyDescent="0.25">
      <c r="A1868" t="s">
        <v>20</v>
      </c>
      <c r="B1868" s="3">
        <v>45170</v>
      </c>
      <c r="C1868" s="9">
        <v>734.77</v>
      </c>
      <c r="D1868">
        <v>1320</v>
      </c>
      <c r="E1868" s="8">
        <v>1.7964805313227268</v>
      </c>
      <c r="F1868" s="7">
        <v>0.55664393939393941</v>
      </c>
      <c r="G1868">
        <v>2023</v>
      </c>
    </row>
    <row r="1869" spans="1:7" x14ac:dyDescent="0.25">
      <c r="A1869" t="s">
        <v>20</v>
      </c>
      <c r="B1869" s="3">
        <v>45200</v>
      </c>
      <c r="C1869" s="9">
        <v>738.13</v>
      </c>
      <c r="D1869">
        <v>1320</v>
      </c>
      <c r="E1869" s="8">
        <v>1.7883028734775717</v>
      </c>
      <c r="F1869" s="7">
        <v>0.55918939393939393</v>
      </c>
      <c r="G1869">
        <v>2023</v>
      </c>
    </row>
    <row r="1870" spans="1:7" x14ac:dyDescent="0.25">
      <c r="A1870" t="s">
        <v>20</v>
      </c>
      <c r="B1870" s="3">
        <v>45231</v>
      </c>
      <c r="C1870" s="9">
        <v>749.28</v>
      </c>
      <c r="D1870">
        <v>1320</v>
      </c>
      <c r="E1870" s="8">
        <v>1.7616912235746318</v>
      </c>
      <c r="F1870" s="7">
        <v>0.56763636363636361</v>
      </c>
      <c r="G1870">
        <v>2023</v>
      </c>
    </row>
    <row r="1871" spans="1:7" x14ac:dyDescent="0.25">
      <c r="A1871" t="s">
        <v>20</v>
      </c>
      <c r="B1871" s="3">
        <v>45261</v>
      </c>
      <c r="C1871" s="9">
        <v>761.01</v>
      </c>
      <c r="D1871">
        <v>1320</v>
      </c>
      <c r="E1871" s="8">
        <v>1.7345369968857176</v>
      </c>
      <c r="F1871" s="7">
        <v>0.57652272727272724</v>
      </c>
      <c r="G1871">
        <v>2023</v>
      </c>
    </row>
    <row r="1872" spans="1:7" x14ac:dyDescent="0.25">
      <c r="A1872" t="s">
        <v>20</v>
      </c>
      <c r="B1872" s="3">
        <v>45292</v>
      </c>
      <c r="C1872" s="9">
        <v>793.39</v>
      </c>
      <c r="D1872">
        <v>1412</v>
      </c>
      <c r="E1872" s="8">
        <v>1.7797048110008948</v>
      </c>
      <c r="F1872" s="7">
        <v>0.56189093484419261</v>
      </c>
      <c r="G1872">
        <v>2024</v>
      </c>
    </row>
    <row r="1873" spans="1:7" x14ac:dyDescent="0.25">
      <c r="A1873" t="s">
        <v>20</v>
      </c>
      <c r="B1873" s="3">
        <v>45323</v>
      </c>
      <c r="C1873" s="9">
        <v>808.38</v>
      </c>
      <c r="D1873">
        <v>1412</v>
      </c>
      <c r="E1873" s="8">
        <v>1.7467032831094287</v>
      </c>
      <c r="F1873" s="7">
        <v>0.57250708215297452</v>
      </c>
      <c r="G1873">
        <v>2024</v>
      </c>
    </row>
    <row r="1874" spans="1:7" x14ac:dyDescent="0.25">
      <c r="A1874" t="s">
        <v>20</v>
      </c>
      <c r="B1874" s="3">
        <v>45352</v>
      </c>
      <c r="C1874" s="9">
        <v>813.26</v>
      </c>
      <c r="D1874">
        <v>1412</v>
      </c>
      <c r="E1874" s="8">
        <v>1.7362221183877236</v>
      </c>
      <c r="F1874" s="7">
        <v>0.57596317280453257</v>
      </c>
      <c r="G1874">
        <v>2024</v>
      </c>
    </row>
    <row r="1875" spans="1:7" x14ac:dyDescent="0.25">
      <c r="A1875" t="s">
        <v>20</v>
      </c>
      <c r="B1875" s="3">
        <v>45383</v>
      </c>
      <c r="C1875" s="9">
        <v>822.84</v>
      </c>
      <c r="D1875">
        <v>1412</v>
      </c>
      <c r="E1875" s="8">
        <v>1.7160079723883135</v>
      </c>
      <c r="F1875" s="7">
        <v>0.58274787535410766</v>
      </c>
      <c r="G1875">
        <v>2024</v>
      </c>
    </row>
    <row r="1876" spans="1:7" x14ac:dyDescent="0.25">
      <c r="A1876" t="s">
        <v>20</v>
      </c>
      <c r="B1876" s="3">
        <v>45413</v>
      </c>
      <c r="C1876" s="9">
        <v>826.85</v>
      </c>
      <c r="D1876">
        <v>1412</v>
      </c>
      <c r="E1876" s="8">
        <v>1.7076857954889035</v>
      </c>
      <c r="F1876" s="7">
        <v>0.58558781869688392</v>
      </c>
      <c r="G1876">
        <v>2024</v>
      </c>
    </row>
    <row r="1877" spans="1:7" x14ac:dyDescent="0.25">
      <c r="A1877" t="s">
        <v>20</v>
      </c>
      <c r="B1877" s="3">
        <v>45444</v>
      </c>
      <c r="C1877" s="9">
        <v>832.69</v>
      </c>
      <c r="D1877">
        <v>1412</v>
      </c>
      <c r="E1877" s="8">
        <v>1.6957090874154845</v>
      </c>
      <c r="F1877" s="7">
        <v>0.58972379603399439</v>
      </c>
      <c r="G1877">
        <v>2024</v>
      </c>
    </row>
    <row r="1878" spans="1:7" x14ac:dyDescent="0.25">
      <c r="A1878" t="s">
        <v>20</v>
      </c>
      <c r="B1878" s="3">
        <v>45474</v>
      </c>
      <c r="C1878" s="9">
        <v>809.77</v>
      </c>
      <c r="D1878">
        <v>1412</v>
      </c>
      <c r="E1878" s="8">
        <v>1.7437050026550749</v>
      </c>
      <c r="F1878" s="7">
        <v>0.57349150141643057</v>
      </c>
      <c r="G1878">
        <v>2024</v>
      </c>
    </row>
    <row r="1879" spans="1:7" x14ac:dyDescent="0.25">
      <c r="A1879" t="s">
        <v>20</v>
      </c>
      <c r="B1879" s="3">
        <v>45505</v>
      </c>
      <c r="C1879" s="9">
        <v>786.35</v>
      </c>
      <c r="D1879">
        <v>1412</v>
      </c>
      <c r="E1879" s="8">
        <v>1.7956380746486933</v>
      </c>
      <c r="F1879" s="7">
        <v>0.55690509915014164</v>
      </c>
      <c r="G1879">
        <v>2024</v>
      </c>
    </row>
    <row r="1880" spans="1:7" x14ac:dyDescent="0.25">
      <c r="A1880" t="s">
        <v>20</v>
      </c>
      <c r="B1880" s="3">
        <v>45536</v>
      </c>
      <c r="C1880" s="9">
        <v>792.47</v>
      </c>
      <c r="D1880">
        <v>1412</v>
      </c>
      <c r="E1880" s="8">
        <v>1.7817709187729502</v>
      </c>
      <c r="F1880" s="7">
        <v>0.56123937677053826</v>
      </c>
      <c r="G1880">
        <v>2024</v>
      </c>
    </row>
    <row r="1881" spans="1:7" x14ac:dyDescent="0.25">
      <c r="A1881" t="s">
        <v>20</v>
      </c>
      <c r="B1881" s="3">
        <v>45566</v>
      </c>
      <c r="C1881" s="9">
        <v>805.84</v>
      </c>
      <c r="D1881">
        <v>1412</v>
      </c>
      <c r="E1881" s="8">
        <v>1.7522088752109599</v>
      </c>
      <c r="F1881" s="7">
        <v>0.57070821529745042</v>
      </c>
      <c r="G1881">
        <v>2024</v>
      </c>
    </row>
    <row r="1882" spans="1:7" x14ac:dyDescent="0.25">
      <c r="A1882" t="s">
        <v>20</v>
      </c>
      <c r="B1882" s="3">
        <v>45597</v>
      </c>
      <c r="C1882" s="9">
        <v>828.39</v>
      </c>
      <c r="D1882">
        <v>1412</v>
      </c>
      <c r="E1882" s="8">
        <v>1.7045111602023202</v>
      </c>
      <c r="F1882" s="7">
        <v>0.58667847025495745</v>
      </c>
      <c r="G1882">
        <v>2024</v>
      </c>
    </row>
    <row r="1883" spans="1:7" x14ac:dyDescent="0.25">
      <c r="A1883" t="s">
        <v>20</v>
      </c>
      <c r="B1883" s="3">
        <v>45627</v>
      </c>
      <c r="C1883" s="9">
        <v>841.29</v>
      </c>
      <c r="D1883">
        <v>1412</v>
      </c>
      <c r="E1883" s="8">
        <v>1.6783748766774835</v>
      </c>
      <c r="F1883" s="7">
        <v>0.59581444759206792</v>
      </c>
      <c r="G1883">
        <v>2024</v>
      </c>
    </row>
    <row r="1884" spans="1:7" x14ac:dyDescent="0.25">
      <c r="A1884" t="s">
        <v>20</v>
      </c>
      <c r="B1884" s="3">
        <v>45658</v>
      </c>
      <c r="C1884" s="9">
        <v>851.82</v>
      </c>
      <c r="D1884">
        <v>1518</v>
      </c>
      <c r="E1884" s="8">
        <v>1.7820666337958722</v>
      </c>
      <c r="F1884" s="7">
        <v>0.56114624505928856</v>
      </c>
      <c r="G1884">
        <v>2025</v>
      </c>
    </row>
    <row r="1885" spans="1:7" x14ac:dyDescent="0.25">
      <c r="A1885" t="s">
        <v>20</v>
      </c>
      <c r="B1885" s="3">
        <v>45689</v>
      </c>
      <c r="C1885" s="9">
        <v>860.53</v>
      </c>
      <c r="D1885">
        <v>1518</v>
      </c>
      <c r="E1885" s="8">
        <v>1.7640291448293495</v>
      </c>
      <c r="F1885" s="7">
        <v>0.56688405797101449</v>
      </c>
      <c r="G1885">
        <v>2025</v>
      </c>
    </row>
    <row r="1886" spans="1:7" x14ac:dyDescent="0.25">
      <c r="A1886" t="s">
        <v>20</v>
      </c>
      <c r="B1886" s="3">
        <v>45717</v>
      </c>
      <c r="C1886" s="9">
        <v>880.72</v>
      </c>
      <c r="D1886">
        <v>1518</v>
      </c>
      <c r="E1886" s="8">
        <v>1.7235897901716777</v>
      </c>
      <c r="F1886" s="7">
        <v>0.58018445322793155</v>
      </c>
      <c r="G1886">
        <v>2025</v>
      </c>
    </row>
    <row r="1887" spans="1:7" x14ac:dyDescent="0.25">
      <c r="A1887" t="s">
        <v>20</v>
      </c>
      <c r="B1887" s="3">
        <v>45748</v>
      </c>
      <c r="C1887" s="9">
        <v>909.25</v>
      </c>
      <c r="D1887">
        <v>1518</v>
      </c>
      <c r="E1887" s="8">
        <v>1.6695078361286775</v>
      </c>
      <c r="F1887" s="7">
        <v>0.59897891963109351</v>
      </c>
      <c r="G1887">
        <v>2025</v>
      </c>
    </row>
    <row r="1888" spans="1:7" x14ac:dyDescent="0.25">
      <c r="A1888" t="s">
        <v>20</v>
      </c>
      <c r="B1888" s="3">
        <v>45778</v>
      </c>
      <c r="C1888" s="9">
        <v>896.15</v>
      </c>
      <c r="D1888">
        <v>1518</v>
      </c>
      <c r="E1888" s="8">
        <v>1.6939128494113709</v>
      </c>
      <c r="F1888" s="7">
        <v>0.59034914361001312</v>
      </c>
      <c r="G1888">
        <v>2025</v>
      </c>
    </row>
    <row r="1889" spans="1:7" x14ac:dyDescent="0.25">
      <c r="A1889" t="s">
        <v>20</v>
      </c>
      <c r="B1889" s="3">
        <v>45809</v>
      </c>
      <c r="C1889" s="9">
        <v>882.76</v>
      </c>
      <c r="D1889">
        <v>1518</v>
      </c>
      <c r="E1889" s="8">
        <v>1.7196066881145498</v>
      </c>
      <c r="F1889" s="7">
        <v>0.58152832674571808</v>
      </c>
      <c r="G1889">
        <v>2025</v>
      </c>
    </row>
    <row r="1890" spans="1:7" x14ac:dyDescent="0.25">
      <c r="A1890" t="s">
        <v>21</v>
      </c>
      <c r="B1890" s="3">
        <v>42005</v>
      </c>
      <c r="C1890" s="9">
        <v>348.3</v>
      </c>
      <c r="D1890">
        <v>788</v>
      </c>
      <c r="E1890" s="8">
        <v>2.2624174562159056</v>
      </c>
      <c r="F1890" s="7">
        <v>0.44200507614213197</v>
      </c>
      <c r="G1890">
        <v>2015</v>
      </c>
    </row>
    <row r="1891" spans="1:7" x14ac:dyDescent="0.25">
      <c r="A1891" t="s">
        <v>21</v>
      </c>
      <c r="B1891" s="3">
        <v>42036</v>
      </c>
      <c r="C1891" s="9">
        <v>354.85</v>
      </c>
      <c r="D1891">
        <v>788</v>
      </c>
      <c r="E1891" s="8">
        <v>2.2206566154713259</v>
      </c>
      <c r="F1891" s="7">
        <v>0.45031725888324875</v>
      </c>
      <c r="G1891">
        <v>2015</v>
      </c>
    </row>
    <row r="1892" spans="1:7" x14ac:dyDescent="0.25">
      <c r="A1892" t="s">
        <v>21</v>
      </c>
      <c r="B1892" s="3">
        <v>42064</v>
      </c>
      <c r="C1892" s="9">
        <v>363.62</v>
      </c>
      <c r="D1892">
        <v>788</v>
      </c>
      <c r="E1892" s="8">
        <v>2.1670975193883724</v>
      </c>
      <c r="F1892" s="7">
        <v>0.46144670050761422</v>
      </c>
      <c r="G1892">
        <v>2015</v>
      </c>
    </row>
    <row r="1893" spans="1:7" x14ac:dyDescent="0.25">
      <c r="A1893" t="s">
        <v>21</v>
      </c>
      <c r="B1893" s="3">
        <v>42095</v>
      </c>
      <c r="C1893" s="9">
        <v>376.46</v>
      </c>
      <c r="D1893">
        <v>788</v>
      </c>
      <c r="E1893" s="8">
        <v>2.0931838707963664</v>
      </c>
      <c r="F1893" s="7">
        <v>0.47774111675126901</v>
      </c>
      <c r="G1893">
        <v>2015</v>
      </c>
    </row>
    <row r="1894" spans="1:7" x14ac:dyDescent="0.25">
      <c r="A1894" t="s">
        <v>21</v>
      </c>
      <c r="B1894" s="3">
        <v>42125</v>
      </c>
      <c r="C1894" s="9">
        <v>387.92</v>
      </c>
      <c r="D1894">
        <v>788</v>
      </c>
      <c r="E1894" s="8">
        <v>2.0313466694163744</v>
      </c>
      <c r="F1894" s="7">
        <v>0.4922842639593909</v>
      </c>
      <c r="G1894">
        <v>2015</v>
      </c>
    </row>
    <row r="1895" spans="1:7" x14ac:dyDescent="0.25">
      <c r="A1895" t="s">
        <v>21</v>
      </c>
      <c r="B1895" s="3">
        <v>42156</v>
      </c>
      <c r="C1895" s="9">
        <v>367.94</v>
      </c>
      <c r="D1895">
        <v>788</v>
      </c>
      <c r="E1895" s="8">
        <v>2.141653530466924</v>
      </c>
      <c r="F1895" s="7">
        <v>0.46692893401015229</v>
      </c>
      <c r="G1895">
        <v>2015</v>
      </c>
    </row>
    <row r="1896" spans="1:7" x14ac:dyDescent="0.25">
      <c r="A1896" t="s">
        <v>21</v>
      </c>
      <c r="B1896" s="3">
        <v>42186</v>
      </c>
      <c r="C1896" s="9">
        <v>368.01</v>
      </c>
      <c r="D1896">
        <v>788</v>
      </c>
      <c r="E1896" s="8">
        <v>2.1412461617890819</v>
      </c>
      <c r="F1896" s="7">
        <v>0.46701776649746191</v>
      </c>
      <c r="G1896">
        <v>2015</v>
      </c>
    </row>
    <row r="1897" spans="1:7" x14ac:dyDescent="0.25">
      <c r="A1897" t="s">
        <v>21</v>
      </c>
      <c r="B1897" s="3">
        <v>42217</v>
      </c>
      <c r="C1897" s="9">
        <v>358</v>
      </c>
      <c r="D1897">
        <v>788</v>
      </c>
      <c r="E1897" s="8">
        <v>2.2011173184357542</v>
      </c>
      <c r="F1897" s="7">
        <v>0.45431472081218272</v>
      </c>
      <c r="G1897">
        <v>2015</v>
      </c>
    </row>
    <row r="1898" spans="1:7" x14ac:dyDescent="0.25">
      <c r="A1898" t="s">
        <v>21</v>
      </c>
      <c r="B1898" s="3">
        <v>42248</v>
      </c>
      <c r="C1898" s="9">
        <v>361.54</v>
      </c>
      <c r="D1898">
        <v>788</v>
      </c>
      <c r="E1898" s="8">
        <v>2.1795651933396027</v>
      </c>
      <c r="F1898" s="7">
        <v>0.45880710659898477</v>
      </c>
      <c r="G1898">
        <v>2015</v>
      </c>
    </row>
    <row r="1899" spans="1:7" x14ac:dyDescent="0.25">
      <c r="A1899" t="s">
        <v>21</v>
      </c>
      <c r="B1899" s="3">
        <v>42278</v>
      </c>
      <c r="C1899" s="9">
        <v>357.3</v>
      </c>
      <c r="D1899">
        <v>788</v>
      </c>
      <c r="E1899" s="8">
        <v>2.2054296109711724</v>
      </c>
      <c r="F1899" s="7">
        <v>0.45342639593908629</v>
      </c>
      <c r="G1899">
        <v>2015</v>
      </c>
    </row>
    <row r="1900" spans="1:7" x14ac:dyDescent="0.25">
      <c r="A1900" t="s">
        <v>21</v>
      </c>
      <c r="B1900" s="3">
        <v>42309</v>
      </c>
      <c r="C1900" s="9">
        <v>378.91</v>
      </c>
      <c r="D1900">
        <v>788</v>
      </c>
      <c r="E1900" s="8">
        <v>2.0796495209944315</v>
      </c>
      <c r="F1900" s="7">
        <v>0.48085025380710661</v>
      </c>
      <c r="G1900">
        <v>2015</v>
      </c>
    </row>
    <row r="1901" spans="1:7" x14ac:dyDescent="0.25">
      <c r="A1901" t="s">
        <v>21</v>
      </c>
      <c r="B1901" s="3">
        <v>42339</v>
      </c>
      <c r="C1901" s="9">
        <v>384.99</v>
      </c>
      <c r="D1901">
        <v>788</v>
      </c>
      <c r="E1901" s="8">
        <v>2.0468064105561181</v>
      </c>
      <c r="F1901" s="7">
        <v>0.48856598984771576</v>
      </c>
      <c r="G1901">
        <v>2015</v>
      </c>
    </row>
    <row r="1902" spans="1:7" x14ac:dyDescent="0.25">
      <c r="A1902" t="s">
        <v>21</v>
      </c>
      <c r="B1902" s="3">
        <v>42370</v>
      </c>
      <c r="C1902" s="9">
        <v>438.42</v>
      </c>
      <c r="D1902">
        <v>880</v>
      </c>
      <c r="E1902" s="8">
        <v>2.0072077003786322</v>
      </c>
      <c r="F1902" s="7">
        <v>0.49820454545454546</v>
      </c>
      <c r="G1902">
        <v>2016</v>
      </c>
    </row>
    <row r="1903" spans="1:7" x14ac:dyDescent="0.25">
      <c r="A1903" t="s">
        <v>21</v>
      </c>
      <c r="B1903" s="3">
        <v>42401</v>
      </c>
      <c r="C1903" s="9">
        <v>401.38</v>
      </c>
      <c r="D1903">
        <v>880</v>
      </c>
      <c r="E1903" s="8">
        <v>2.1924360954706263</v>
      </c>
      <c r="F1903" s="7">
        <v>0.45611363636363633</v>
      </c>
      <c r="G1903">
        <v>2016</v>
      </c>
    </row>
    <row r="1904" spans="1:7" x14ac:dyDescent="0.25">
      <c r="A1904" t="s">
        <v>21</v>
      </c>
      <c r="B1904" s="3">
        <v>42430</v>
      </c>
      <c r="C1904" s="9">
        <v>418.18</v>
      </c>
      <c r="D1904">
        <v>880</v>
      </c>
      <c r="E1904" s="8">
        <v>2.1043569754651106</v>
      </c>
      <c r="F1904" s="7">
        <v>0.47520454545454544</v>
      </c>
      <c r="G1904">
        <v>2016</v>
      </c>
    </row>
    <row r="1905" spans="1:7" x14ac:dyDescent="0.25">
      <c r="A1905" t="s">
        <v>21</v>
      </c>
      <c r="B1905" s="3">
        <v>42461</v>
      </c>
      <c r="C1905" s="9">
        <v>414.26</v>
      </c>
      <c r="D1905">
        <v>880</v>
      </c>
      <c r="E1905" s="8">
        <v>2.1242697822623473</v>
      </c>
      <c r="F1905" s="7">
        <v>0.47075</v>
      </c>
      <c r="G1905">
        <v>2016</v>
      </c>
    </row>
    <row r="1906" spans="1:7" x14ac:dyDescent="0.25">
      <c r="A1906" t="s">
        <v>21</v>
      </c>
      <c r="B1906" s="3">
        <v>42491</v>
      </c>
      <c r="C1906" s="9">
        <v>418.96</v>
      </c>
      <c r="D1906">
        <v>880</v>
      </c>
      <c r="E1906" s="8">
        <v>2.1004391827382092</v>
      </c>
      <c r="F1906" s="7">
        <v>0.47609090909090906</v>
      </c>
      <c r="G1906">
        <v>2016</v>
      </c>
    </row>
    <row r="1907" spans="1:7" x14ac:dyDescent="0.25">
      <c r="A1907" t="s">
        <v>21</v>
      </c>
      <c r="B1907" s="3">
        <v>42522</v>
      </c>
      <c r="C1907" s="9">
        <v>428.69</v>
      </c>
      <c r="D1907">
        <v>880</v>
      </c>
      <c r="E1907" s="8">
        <v>2.0527654015722319</v>
      </c>
      <c r="F1907" s="7">
        <v>0.48714772727272726</v>
      </c>
      <c r="G1907">
        <v>2016</v>
      </c>
    </row>
    <row r="1908" spans="1:7" x14ac:dyDescent="0.25">
      <c r="A1908" t="s">
        <v>21</v>
      </c>
      <c r="B1908" s="3">
        <v>42552</v>
      </c>
      <c r="C1908" s="9">
        <v>436.24</v>
      </c>
      <c r="D1908">
        <v>880</v>
      </c>
      <c r="E1908" s="8">
        <v>2.017238217494957</v>
      </c>
      <c r="F1908" s="7">
        <v>0.49572727272727274</v>
      </c>
      <c r="G1908">
        <v>2016</v>
      </c>
    </row>
    <row r="1909" spans="1:7" x14ac:dyDescent="0.25">
      <c r="A1909" t="s">
        <v>21</v>
      </c>
      <c r="B1909" s="3">
        <v>42583</v>
      </c>
      <c r="C1909" s="9">
        <v>436.53</v>
      </c>
      <c r="D1909">
        <v>880</v>
      </c>
      <c r="E1909" s="8">
        <v>2.0158981055139398</v>
      </c>
      <c r="F1909" s="7">
        <v>0.49605681818181813</v>
      </c>
      <c r="G1909">
        <v>2016</v>
      </c>
    </row>
    <row r="1910" spans="1:7" x14ac:dyDescent="0.25">
      <c r="A1910" t="s">
        <v>21</v>
      </c>
      <c r="B1910" s="3">
        <v>42614</v>
      </c>
      <c r="C1910" s="9">
        <v>435.27</v>
      </c>
      <c r="D1910">
        <v>880</v>
      </c>
      <c r="E1910" s="8">
        <v>2.0217336365933791</v>
      </c>
      <c r="F1910" s="7">
        <v>0.49462499999999998</v>
      </c>
      <c r="G1910">
        <v>2016</v>
      </c>
    </row>
    <row r="1911" spans="1:7" x14ac:dyDescent="0.25">
      <c r="A1911" t="s">
        <v>21</v>
      </c>
      <c r="B1911" s="3">
        <v>42644</v>
      </c>
      <c r="C1911" s="9">
        <v>449.16</v>
      </c>
      <c r="D1911">
        <v>880</v>
      </c>
      <c r="E1911" s="8">
        <v>1.9592127526939174</v>
      </c>
      <c r="F1911" s="7">
        <v>0.51040909090909092</v>
      </c>
      <c r="G1911">
        <v>2016</v>
      </c>
    </row>
    <row r="1912" spans="1:7" x14ac:dyDescent="0.25">
      <c r="A1912" t="s">
        <v>21</v>
      </c>
      <c r="B1912" s="3">
        <v>42675</v>
      </c>
      <c r="C1912" s="9">
        <v>438.85</v>
      </c>
      <c r="D1912">
        <v>880</v>
      </c>
      <c r="E1912" s="8">
        <v>2.0052409707189245</v>
      </c>
      <c r="F1912" s="7">
        <v>0.49869318181818184</v>
      </c>
      <c r="G1912">
        <v>2016</v>
      </c>
    </row>
    <row r="1913" spans="1:7" x14ac:dyDescent="0.25">
      <c r="A1913" t="s">
        <v>21</v>
      </c>
      <c r="B1913" s="3">
        <v>42705</v>
      </c>
      <c r="C1913" s="9">
        <v>426.32</v>
      </c>
      <c r="D1913">
        <v>880</v>
      </c>
      <c r="E1913" s="8">
        <v>2.0641771439294425</v>
      </c>
      <c r="F1913" s="7">
        <v>0.48445454545454547</v>
      </c>
      <c r="G1913">
        <v>2016</v>
      </c>
    </row>
    <row r="1914" spans="1:7" x14ac:dyDescent="0.25">
      <c r="A1914" t="s">
        <v>21</v>
      </c>
      <c r="B1914" s="3">
        <v>42736</v>
      </c>
      <c r="C1914" s="9">
        <v>422.38</v>
      </c>
      <c r="D1914">
        <v>937</v>
      </c>
      <c r="E1914" s="8">
        <v>2.2183815521568255</v>
      </c>
      <c r="F1914" s="7">
        <v>0.45077908217716117</v>
      </c>
      <c r="G1914">
        <v>2017</v>
      </c>
    </row>
    <row r="1915" spans="1:7" x14ac:dyDescent="0.25">
      <c r="A1915" t="s">
        <v>21</v>
      </c>
      <c r="B1915" s="3">
        <v>42767</v>
      </c>
      <c r="C1915" s="9">
        <v>414.03</v>
      </c>
      <c r="D1915">
        <v>937</v>
      </c>
      <c r="E1915" s="8">
        <v>2.2631210298770621</v>
      </c>
      <c r="F1915" s="7">
        <v>0.4418676627534685</v>
      </c>
      <c r="G1915">
        <v>2017</v>
      </c>
    </row>
    <row r="1916" spans="1:7" x14ac:dyDescent="0.25">
      <c r="A1916" t="s">
        <v>21</v>
      </c>
      <c r="B1916" s="3">
        <v>42795</v>
      </c>
      <c r="C1916" s="9">
        <v>415.75</v>
      </c>
      <c r="D1916">
        <v>937</v>
      </c>
      <c r="E1916" s="8">
        <v>2.2537582681900181</v>
      </c>
      <c r="F1916" s="7">
        <v>0.44370330843116329</v>
      </c>
      <c r="G1916">
        <v>2017</v>
      </c>
    </row>
    <row r="1917" spans="1:7" x14ac:dyDescent="0.25">
      <c r="A1917" t="s">
        <v>21</v>
      </c>
      <c r="B1917" s="3">
        <v>42826</v>
      </c>
      <c r="C1917" s="9">
        <v>431.54</v>
      </c>
      <c r="D1917">
        <v>937</v>
      </c>
      <c r="E1917" s="8">
        <v>2.1712935069750197</v>
      </c>
      <c r="F1917" s="7">
        <v>0.46055496264674495</v>
      </c>
      <c r="G1917">
        <v>2017</v>
      </c>
    </row>
    <row r="1918" spans="1:7" x14ac:dyDescent="0.25">
      <c r="A1918" t="s">
        <v>21</v>
      </c>
      <c r="B1918" s="3">
        <v>42856</v>
      </c>
      <c r="C1918" s="9">
        <v>422.03</v>
      </c>
      <c r="D1918">
        <v>937</v>
      </c>
      <c r="E1918" s="8">
        <v>2.2202213112811888</v>
      </c>
      <c r="F1918" s="7">
        <v>0.45040554962646739</v>
      </c>
      <c r="G1918">
        <v>2017</v>
      </c>
    </row>
    <row r="1919" spans="1:7" x14ac:dyDescent="0.25">
      <c r="A1919" t="s">
        <v>21</v>
      </c>
      <c r="B1919" s="3">
        <v>42887</v>
      </c>
      <c r="C1919" s="9">
        <v>404.54</v>
      </c>
      <c r="D1919">
        <v>937</v>
      </c>
      <c r="E1919" s="8">
        <v>2.3162110050922036</v>
      </c>
      <c r="F1919" s="7">
        <v>0.43173959445037358</v>
      </c>
      <c r="G1919">
        <v>2017</v>
      </c>
    </row>
    <row r="1920" spans="1:7" x14ac:dyDescent="0.25">
      <c r="A1920" t="s">
        <v>21</v>
      </c>
      <c r="B1920" s="3">
        <v>42917</v>
      </c>
      <c r="C1920" s="9">
        <v>409.51</v>
      </c>
      <c r="D1920">
        <v>937</v>
      </c>
      <c r="E1920" s="8">
        <v>2.2881004126883351</v>
      </c>
      <c r="F1920" s="7">
        <v>0.4370437566702241</v>
      </c>
      <c r="G1920">
        <v>2017</v>
      </c>
    </row>
    <row r="1921" spans="1:7" x14ac:dyDescent="0.25">
      <c r="A1921" t="s">
        <v>21</v>
      </c>
      <c r="B1921" s="3">
        <v>42948</v>
      </c>
      <c r="C1921" s="9">
        <v>397.89</v>
      </c>
      <c r="D1921">
        <v>937</v>
      </c>
      <c r="E1921" s="8">
        <v>2.3549222146824502</v>
      </c>
      <c r="F1921" s="7">
        <v>0.42464247598719318</v>
      </c>
      <c r="G1921">
        <v>2017</v>
      </c>
    </row>
    <row r="1922" spans="1:7" x14ac:dyDescent="0.25">
      <c r="A1922" t="s">
        <v>21</v>
      </c>
      <c r="B1922" s="3">
        <v>42979</v>
      </c>
      <c r="C1922" s="9">
        <v>391.76</v>
      </c>
      <c r="D1922">
        <v>937</v>
      </c>
      <c r="E1922" s="8">
        <v>2.3917704717173782</v>
      </c>
      <c r="F1922" s="7">
        <v>0.41810032017075771</v>
      </c>
      <c r="G1922">
        <v>2017</v>
      </c>
    </row>
    <row r="1923" spans="1:7" x14ac:dyDescent="0.25">
      <c r="A1923" t="s">
        <v>21</v>
      </c>
      <c r="B1923" s="3">
        <v>43009</v>
      </c>
      <c r="C1923" s="9">
        <v>393.71</v>
      </c>
      <c r="D1923">
        <v>937</v>
      </c>
      <c r="E1923" s="8">
        <v>2.3799243097711513</v>
      </c>
      <c r="F1923" s="7">
        <v>0.42018143009605119</v>
      </c>
      <c r="G1923">
        <v>2017</v>
      </c>
    </row>
    <row r="1924" spans="1:7" x14ac:dyDescent="0.25">
      <c r="A1924" t="s">
        <v>21</v>
      </c>
      <c r="B1924" s="3">
        <v>43040</v>
      </c>
      <c r="C1924" s="9">
        <v>387.93</v>
      </c>
      <c r="D1924">
        <v>937</v>
      </c>
      <c r="E1924" s="8">
        <v>2.4153842188023611</v>
      </c>
      <c r="F1924" s="7">
        <v>0.4140128068303095</v>
      </c>
      <c r="G1924">
        <v>2017</v>
      </c>
    </row>
    <row r="1925" spans="1:7" x14ac:dyDescent="0.25">
      <c r="A1925" t="s">
        <v>21</v>
      </c>
      <c r="B1925" s="3">
        <v>43070</v>
      </c>
      <c r="C1925" s="9">
        <v>385.19</v>
      </c>
      <c r="D1925">
        <v>937</v>
      </c>
      <c r="E1925" s="8">
        <v>2.4325657467743191</v>
      </c>
      <c r="F1925" s="7">
        <v>0.41108858057630737</v>
      </c>
      <c r="G1925">
        <v>2017</v>
      </c>
    </row>
    <row r="1926" spans="1:7" x14ac:dyDescent="0.25">
      <c r="A1926" t="s">
        <v>21</v>
      </c>
      <c r="B1926" s="3">
        <v>43101</v>
      </c>
      <c r="C1926" s="9">
        <v>417.73</v>
      </c>
      <c r="D1926">
        <v>954</v>
      </c>
      <c r="E1926" s="8">
        <v>2.28377181432983</v>
      </c>
      <c r="F1926" s="7">
        <v>0.43787211740041931</v>
      </c>
      <c r="G1926">
        <v>2018</v>
      </c>
    </row>
    <row r="1927" spans="1:7" x14ac:dyDescent="0.25">
      <c r="A1927" t="s">
        <v>21</v>
      </c>
      <c r="B1927" s="3">
        <v>43132</v>
      </c>
      <c r="C1927" s="9">
        <v>410.84</v>
      </c>
      <c r="D1927">
        <v>954</v>
      </c>
      <c r="E1927" s="8">
        <v>2.3220718527894073</v>
      </c>
      <c r="F1927" s="7">
        <v>0.43064989517819702</v>
      </c>
      <c r="G1927">
        <v>2018</v>
      </c>
    </row>
    <row r="1928" spans="1:7" x14ac:dyDescent="0.25">
      <c r="A1928" t="s">
        <v>21</v>
      </c>
      <c r="B1928" s="3">
        <v>43160</v>
      </c>
      <c r="C1928" s="9">
        <v>410.59</v>
      </c>
      <c r="D1928">
        <v>954</v>
      </c>
      <c r="E1928" s="8">
        <v>2.3234857156774398</v>
      </c>
      <c r="F1928" s="7">
        <v>0.4303878406708595</v>
      </c>
      <c r="G1928">
        <v>2018</v>
      </c>
    </row>
    <row r="1929" spans="1:7" x14ac:dyDescent="0.25">
      <c r="A1929" t="s">
        <v>21</v>
      </c>
      <c r="B1929" s="3">
        <v>43191</v>
      </c>
      <c r="C1929" s="9">
        <v>409.8</v>
      </c>
      <c r="D1929">
        <v>954</v>
      </c>
      <c r="E1929" s="8">
        <v>2.3279648609077599</v>
      </c>
      <c r="F1929" s="7">
        <v>0.42955974842767297</v>
      </c>
      <c r="G1929">
        <v>2018</v>
      </c>
    </row>
    <row r="1930" spans="1:7" x14ac:dyDescent="0.25">
      <c r="A1930" t="s">
        <v>21</v>
      </c>
      <c r="B1930" s="3">
        <v>43221</v>
      </c>
      <c r="C1930" s="9">
        <v>409.95</v>
      </c>
      <c r="D1930">
        <v>954</v>
      </c>
      <c r="E1930" s="8">
        <v>2.3271130625686061</v>
      </c>
      <c r="F1930" s="7">
        <v>0.42971698113207546</v>
      </c>
      <c r="G1930">
        <v>2018</v>
      </c>
    </row>
    <row r="1931" spans="1:7" x14ac:dyDescent="0.25">
      <c r="A1931" t="s">
        <v>21</v>
      </c>
      <c r="B1931" s="3">
        <v>43252</v>
      </c>
      <c r="C1931" s="9">
        <v>413.73</v>
      </c>
      <c r="D1931">
        <v>954</v>
      </c>
      <c r="E1931" s="8">
        <v>2.3058516423754623</v>
      </c>
      <c r="F1931" s="7">
        <v>0.43367924528301888</v>
      </c>
      <c r="G1931">
        <v>2018</v>
      </c>
    </row>
    <row r="1932" spans="1:7" x14ac:dyDescent="0.25">
      <c r="A1932" t="s">
        <v>21</v>
      </c>
      <c r="B1932" s="3">
        <v>43282</v>
      </c>
      <c r="C1932" s="9">
        <v>406.43</v>
      </c>
      <c r="D1932">
        <v>954</v>
      </c>
      <c r="E1932" s="8">
        <v>2.3472676721698691</v>
      </c>
      <c r="F1932" s="7">
        <v>0.4260272536687631</v>
      </c>
      <c r="G1932">
        <v>2018</v>
      </c>
    </row>
    <row r="1933" spans="1:7" x14ac:dyDescent="0.25">
      <c r="A1933" t="s">
        <v>21</v>
      </c>
      <c r="B1933" s="3">
        <v>43313</v>
      </c>
      <c r="C1933" s="9">
        <v>395.7</v>
      </c>
      <c r="D1933">
        <v>954</v>
      </c>
      <c r="E1933" s="8">
        <v>2.4109173616376043</v>
      </c>
      <c r="F1933" s="7">
        <v>0.41477987421383644</v>
      </c>
      <c r="G1933">
        <v>2018</v>
      </c>
    </row>
    <row r="1934" spans="1:7" x14ac:dyDescent="0.25">
      <c r="A1934" t="s">
        <v>21</v>
      </c>
      <c r="B1934" s="3">
        <v>43344</v>
      </c>
      <c r="C1934" s="9">
        <v>395.64</v>
      </c>
      <c r="D1934">
        <v>954</v>
      </c>
      <c r="E1934" s="8">
        <v>2.4112829845313923</v>
      </c>
      <c r="F1934" s="7">
        <v>0.41471698113207545</v>
      </c>
      <c r="G1934">
        <v>2018</v>
      </c>
    </row>
    <row r="1935" spans="1:7" x14ac:dyDescent="0.25">
      <c r="A1935" t="s">
        <v>21</v>
      </c>
      <c r="B1935" s="3">
        <v>43374</v>
      </c>
      <c r="C1935" s="9">
        <v>419.69</v>
      </c>
      <c r="D1935">
        <v>954</v>
      </c>
      <c r="E1935" s="8">
        <v>2.2731063403941003</v>
      </c>
      <c r="F1935" s="7">
        <v>0.43992662473794547</v>
      </c>
      <c r="G1935">
        <v>2018</v>
      </c>
    </row>
    <row r="1936" spans="1:7" x14ac:dyDescent="0.25">
      <c r="A1936" t="s">
        <v>21</v>
      </c>
      <c r="B1936" s="3">
        <v>43405</v>
      </c>
      <c r="C1936" s="9">
        <v>408.55</v>
      </c>
      <c r="D1936">
        <v>954</v>
      </c>
      <c r="E1936" s="8">
        <v>2.3350875045894015</v>
      </c>
      <c r="F1936" s="7">
        <v>0.42824947589098533</v>
      </c>
      <c r="G1936">
        <v>2018</v>
      </c>
    </row>
    <row r="1937" spans="1:7" x14ac:dyDescent="0.25">
      <c r="A1937" t="s">
        <v>21</v>
      </c>
      <c r="B1937" s="3">
        <v>43435</v>
      </c>
      <c r="C1937" s="9">
        <v>403.79</v>
      </c>
      <c r="D1937">
        <v>954</v>
      </c>
      <c r="E1937" s="8">
        <v>2.3626142301691471</v>
      </c>
      <c r="F1937" s="7">
        <v>0.42325995807127886</v>
      </c>
      <c r="G1937">
        <v>2018</v>
      </c>
    </row>
    <row r="1938" spans="1:7" x14ac:dyDescent="0.25">
      <c r="A1938" t="s">
        <v>21</v>
      </c>
      <c r="B1938" s="3">
        <v>43466</v>
      </c>
      <c r="C1938" s="9">
        <v>423.96</v>
      </c>
      <c r="D1938">
        <v>998</v>
      </c>
      <c r="E1938" s="8">
        <v>2.3539956599679215</v>
      </c>
      <c r="F1938" s="7">
        <v>0.42480961923847693</v>
      </c>
      <c r="G1938">
        <v>2019</v>
      </c>
    </row>
    <row r="1939" spans="1:7" x14ac:dyDescent="0.25">
      <c r="A1939" t="s">
        <v>21</v>
      </c>
      <c r="B1939" s="3">
        <v>43497</v>
      </c>
      <c r="C1939" s="9">
        <v>449.54</v>
      </c>
      <c r="D1939">
        <v>998</v>
      </c>
      <c r="E1939" s="8">
        <v>2.2200471593184141</v>
      </c>
      <c r="F1939" s="7">
        <v>0.45044088176352709</v>
      </c>
      <c r="G1939">
        <v>2019</v>
      </c>
    </row>
    <row r="1940" spans="1:7" x14ac:dyDescent="0.25">
      <c r="A1940" t="s">
        <v>21</v>
      </c>
      <c r="B1940" s="3">
        <v>43525</v>
      </c>
      <c r="C1940" s="9">
        <v>475.84</v>
      </c>
      <c r="D1940">
        <v>998</v>
      </c>
      <c r="E1940" s="8">
        <v>2.0973436449226632</v>
      </c>
      <c r="F1940" s="7">
        <v>0.47679358717434867</v>
      </c>
      <c r="G1940">
        <v>2019</v>
      </c>
    </row>
    <row r="1941" spans="1:7" x14ac:dyDescent="0.25">
      <c r="A1941" t="s">
        <v>21</v>
      </c>
      <c r="B1941" s="3">
        <v>43556</v>
      </c>
      <c r="C1941" s="9">
        <v>498.54</v>
      </c>
      <c r="D1941">
        <v>998</v>
      </c>
      <c r="E1941" s="8">
        <v>2.0018453885345209</v>
      </c>
      <c r="F1941" s="7">
        <v>0.49953907815631265</v>
      </c>
      <c r="G1941">
        <v>2019</v>
      </c>
    </row>
    <row r="1942" spans="1:7" x14ac:dyDescent="0.25">
      <c r="A1942" t="s">
        <v>21</v>
      </c>
      <c r="B1942" s="3">
        <v>43586</v>
      </c>
      <c r="C1942" s="9">
        <v>484.84</v>
      </c>
      <c r="D1942">
        <v>998</v>
      </c>
      <c r="E1942" s="8">
        <v>2.0584110221928884</v>
      </c>
      <c r="F1942" s="7">
        <v>0.48581162324649296</v>
      </c>
      <c r="G1942">
        <v>2019</v>
      </c>
    </row>
    <row r="1943" spans="1:7" x14ac:dyDescent="0.25">
      <c r="A1943" t="s">
        <v>21</v>
      </c>
      <c r="B1943" s="3">
        <v>43617</v>
      </c>
      <c r="C1943" s="9">
        <v>485.34</v>
      </c>
      <c r="D1943">
        <v>998</v>
      </c>
      <c r="E1943" s="8">
        <v>2.0562904355709399</v>
      </c>
      <c r="F1943" s="7">
        <v>0.48631262525050095</v>
      </c>
      <c r="G1943">
        <v>2019</v>
      </c>
    </row>
    <row r="1944" spans="1:7" x14ac:dyDescent="0.25">
      <c r="A1944" t="s">
        <v>21</v>
      </c>
      <c r="B1944" s="3">
        <v>43647</v>
      </c>
      <c r="C1944" s="9">
        <v>466.93</v>
      </c>
      <c r="D1944">
        <v>998</v>
      </c>
      <c r="E1944" s="8">
        <v>2.1373653438416893</v>
      </c>
      <c r="F1944" s="7">
        <v>0.46786573146292587</v>
      </c>
      <c r="G1944">
        <v>2019</v>
      </c>
    </row>
    <row r="1945" spans="1:7" x14ac:dyDescent="0.25">
      <c r="A1945" t="s">
        <v>21</v>
      </c>
      <c r="B1945" s="3">
        <v>43678</v>
      </c>
      <c r="C1945" s="9">
        <v>441.5</v>
      </c>
      <c r="D1945">
        <v>998</v>
      </c>
      <c r="E1945" s="8">
        <v>2.260475651189128</v>
      </c>
      <c r="F1945" s="7">
        <v>0.44238476953907818</v>
      </c>
      <c r="G1945">
        <v>2019</v>
      </c>
    </row>
    <row r="1946" spans="1:7" x14ac:dyDescent="0.25">
      <c r="A1946" t="s">
        <v>21</v>
      </c>
      <c r="B1946" s="3">
        <v>43709</v>
      </c>
      <c r="C1946" s="9">
        <v>429.06</v>
      </c>
      <c r="D1946">
        <v>998</v>
      </c>
      <c r="E1946" s="8">
        <v>2.326015009555773</v>
      </c>
      <c r="F1946" s="7">
        <v>0.42991983967935871</v>
      </c>
      <c r="G1946">
        <v>2019</v>
      </c>
    </row>
    <row r="1947" spans="1:7" x14ac:dyDescent="0.25">
      <c r="A1947" t="s">
        <v>21</v>
      </c>
      <c r="B1947" s="3">
        <v>43739</v>
      </c>
      <c r="C1947" s="9">
        <v>428.25</v>
      </c>
      <c r="D1947">
        <v>998</v>
      </c>
      <c r="E1947" s="8">
        <v>2.3304144775248101</v>
      </c>
      <c r="F1947" s="7">
        <v>0.42910821643286573</v>
      </c>
      <c r="G1947">
        <v>2019</v>
      </c>
    </row>
    <row r="1948" spans="1:7" x14ac:dyDescent="0.25">
      <c r="A1948" t="s">
        <v>21</v>
      </c>
      <c r="B1948" s="3">
        <v>43770</v>
      </c>
      <c r="C1948" s="9">
        <v>462.06</v>
      </c>
      <c r="D1948">
        <v>998</v>
      </c>
      <c r="E1948" s="8">
        <v>2.1598926546335973</v>
      </c>
      <c r="F1948" s="7">
        <v>0.4629859719438878</v>
      </c>
      <c r="G1948">
        <v>2019</v>
      </c>
    </row>
    <row r="1949" spans="1:7" x14ac:dyDescent="0.25">
      <c r="A1949" t="s">
        <v>21</v>
      </c>
      <c r="B1949" s="3">
        <v>43800</v>
      </c>
      <c r="C1949" s="9">
        <v>499.23</v>
      </c>
      <c r="D1949">
        <v>998</v>
      </c>
      <c r="E1949" s="8">
        <v>1.9990785810147627</v>
      </c>
      <c r="F1949" s="7">
        <v>0.50023046092184376</v>
      </c>
      <c r="G1949">
        <v>2019</v>
      </c>
    </row>
    <row r="1950" spans="1:7" x14ac:dyDescent="0.25">
      <c r="A1950" t="s">
        <v>21</v>
      </c>
      <c r="B1950" s="3">
        <v>43831</v>
      </c>
      <c r="C1950" s="9">
        <v>492.2</v>
      </c>
      <c r="D1950">
        <v>1039</v>
      </c>
      <c r="E1950" s="8">
        <v>2.1109305160503862</v>
      </c>
      <c r="F1950" s="7">
        <v>0.47372473532242537</v>
      </c>
      <c r="G1950">
        <v>2020</v>
      </c>
    </row>
    <row r="1951" spans="1:7" x14ac:dyDescent="0.25">
      <c r="A1951" t="s">
        <v>21</v>
      </c>
      <c r="B1951" s="3">
        <v>43862</v>
      </c>
      <c r="C1951" s="9">
        <v>480.03</v>
      </c>
      <c r="D1951">
        <v>1045</v>
      </c>
      <c r="E1951" s="8">
        <v>2.1769472741287004</v>
      </c>
      <c r="F1951" s="7">
        <v>0.45935885167464113</v>
      </c>
      <c r="G1951">
        <v>2020</v>
      </c>
    </row>
    <row r="1952" spans="1:7" x14ac:dyDescent="0.25">
      <c r="A1952" t="s">
        <v>21</v>
      </c>
      <c r="B1952" s="3">
        <v>43891</v>
      </c>
      <c r="C1952" s="9">
        <v>504.78</v>
      </c>
      <c r="D1952">
        <v>1045</v>
      </c>
      <c r="E1952" s="8">
        <v>2.0702088038353343</v>
      </c>
      <c r="F1952" s="7">
        <v>0.48304306220095689</v>
      </c>
      <c r="G1952">
        <v>2020</v>
      </c>
    </row>
    <row r="1953" spans="1:7" x14ac:dyDescent="0.25">
      <c r="A1953" t="s">
        <v>21</v>
      </c>
      <c r="B1953" s="3">
        <v>43922</v>
      </c>
      <c r="C1953" s="9">
        <v>537.89</v>
      </c>
      <c r="D1953">
        <v>1045</v>
      </c>
      <c r="E1953" s="8">
        <v>1.9427764040974922</v>
      </c>
      <c r="F1953" s="7">
        <v>0.5147272727272727</v>
      </c>
      <c r="G1953">
        <v>2020</v>
      </c>
    </row>
    <row r="1954" spans="1:7" x14ac:dyDescent="0.25">
      <c r="A1954" t="s">
        <v>21</v>
      </c>
      <c r="B1954" s="3">
        <v>43952</v>
      </c>
      <c r="C1954" s="9">
        <v>536.73</v>
      </c>
      <c r="D1954">
        <v>1045</v>
      </c>
      <c r="E1954" s="8">
        <v>1.9469752016842732</v>
      </c>
      <c r="F1954" s="7">
        <v>0.51361722488038275</v>
      </c>
      <c r="G1954">
        <v>2020</v>
      </c>
    </row>
    <row r="1955" spans="1:7" x14ac:dyDescent="0.25">
      <c r="A1955" t="s">
        <v>21</v>
      </c>
      <c r="B1955" s="3">
        <v>43983</v>
      </c>
      <c r="C1955" s="9">
        <v>500.01</v>
      </c>
      <c r="D1955">
        <v>1045</v>
      </c>
      <c r="E1955" s="8">
        <v>2.0899582008359832</v>
      </c>
      <c r="F1955" s="7">
        <v>0.4784784688995215</v>
      </c>
      <c r="G1955">
        <v>2020</v>
      </c>
    </row>
    <row r="1956" spans="1:7" x14ac:dyDescent="0.25">
      <c r="A1956" t="s">
        <v>21</v>
      </c>
      <c r="B1956" s="3">
        <v>44013</v>
      </c>
      <c r="C1956" s="9">
        <v>484.8</v>
      </c>
      <c r="D1956">
        <v>1045</v>
      </c>
      <c r="E1956" s="8">
        <v>2.1555280528052805</v>
      </c>
      <c r="F1956" s="7">
        <v>0.46392344497607657</v>
      </c>
      <c r="G1956">
        <v>2020</v>
      </c>
    </row>
    <row r="1957" spans="1:7" x14ac:dyDescent="0.25">
      <c r="A1957" t="s">
        <v>21</v>
      </c>
      <c r="B1957" s="3">
        <v>44044</v>
      </c>
      <c r="C1957" s="9">
        <v>509.45</v>
      </c>
      <c r="D1957">
        <v>1045</v>
      </c>
      <c r="E1957" s="8">
        <v>2.0512317204828738</v>
      </c>
      <c r="F1957" s="7">
        <v>0.48751196172248801</v>
      </c>
      <c r="G1957">
        <v>2020</v>
      </c>
    </row>
    <row r="1958" spans="1:7" x14ac:dyDescent="0.25">
      <c r="A1958" t="s">
        <v>21</v>
      </c>
      <c r="B1958" s="3">
        <v>44075</v>
      </c>
      <c r="C1958" s="9">
        <v>539.36</v>
      </c>
      <c r="D1958">
        <v>1045</v>
      </c>
      <c r="E1958" s="8">
        <v>1.9374814595075645</v>
      </c>
      <c r="F1958" s="7">
        <v>0.516133971291866</v>
      </c>
      <c r="G1958">
        <v>2020</v>
      </c>
    </row>
    <row r="1959" spans="1:7" x14ac:dyDescent="0.25">
      <c r="A1959" t="s">
        <v>21</v>
      </c>
      <c r="B1959" s="3">
        <v>44105</v>
      </c>
      <c r="C1959" s="9">
        <v>552.85</v>
      </c>
      <c r="D1959">
        <v>1045</v>
      </c>
      <c r="E1959" s="8">
        <v>1.8902052998100749</v>
      </c>
      <c r="F1959" s="7">
        <v>0.52904306220095698</v>
      </c>
      <c r="G1959">
        <v>2020</v>
      </c>
    </row>
    <row r="1960" spans="1:7" x14ac:dyDescent="0.25">
      <c r="A1960" t="s">
        <v>21</v>
      </c>
      <c r="B1960" s="3">
        <v>44136</v>
      </c>
      <c r="C1960" s="9">
        <v>606.59</v>
      </c>
      <c r="D1960">
        <v>1045</v>
      </c>
      <c r="E1960" s="8">
        <v>1.7227451820834501</v>
      </c>
      <c r="F1960" s="7">
        <v>0.58046889952153113</v>
      </c>
      <c r="G1960">
        <v>2020</v>
      </c>
    </row>
    <row r="1961" spans="1:7" x14ac:dyDescent="0.25">
      <c r="A1961" t="s">
        <v>21</v>
      </c>
      <c r="B1961" s="3">
        <v>44166</v>
      </c>
      <c r="C1961" s="9">
        <v>600.28</v>
      </c>
      <c r="D1961">
        <v>1045</v>
      </c>
      <c r="E1961" s="8">
        <v>1.7408542680082628</v>
      </c>
      <c r="F1961" s="7">
        <v>0.5744306220095694</v>
      </c>
      <c r="G1961">
        <v>2020</v>
      </c>
    </row>
    <row r="1962" spans="1:7" x14ac:dyDescent="0.25">
      <c r="A1962" t="s">
        <v>21</v>
      </c>
      <c r="B1962" s="3">
        <v>44197</v>
      </c>
      <c r="C1962" s="9">
        <v>624.62</v>
      </c>
      <c r="D1962">
        <v>1100</v>
      </c>
      <c r="E1962" s="8">
        <v>1.7610707310044507</v>
      </c>
      <c r="F1962" s="7">
        <v>0.56783636363636369</v>
      </c>
      <c r="G1962">
        <v>2021</v>
      </c>
    </row>
    <row r="1963" spans="1:7" x14ac:dyDescent="0.25">
      <c r="A1963" t="s">
        <v>21</v>
      </c>
      <c r="B1963" s="3">
        <v>44228</v>
      </c>
      <c r="C1963" s="9">
        <v>609.27</v>
      </c>
      <c r="D1963">
        <v>1100</v>
      </c>
      <c r="E1963" s="8">
        <v>1.8054392962069363</v>
      </c>
      <c r="F1963" s="7">
        <v>0.55388181818181814</v>
      </c>
      <c r="G1963">
        <v>2021</v>
      </c>
    </row>
    <row r="1964" spans="1:7" x14ac:dyDescent="0.25">
      <c r="A1964" t="s">
        <v>21</v>
      </c>
      <c r="B1964" s="3">
        <v>44256</v>
      </c>
      <c r="C1964" s="9">
        <v>596.91</v>
      </c>
      <c r="D1964">
        <v>1100</v>
      </c>
      <c r="E1964" s="8">
        <v>1.8428238762962592</v>
      </c>
      <c r="F1964" s="7">
        <v>0.54264545454545454</v>
      </c>
      <c r="G1964">
        <v>2021</v>
      </c>
    </row>
    <row r="1965" spans="1:7" x14ac:dyDescent="0.25">
      <c r="A1965" t="s">
        <v>21</v>
      </c>
      <c r="B1965" s="3">
        <v>44287</v>
      </c>
      <c r="C1965" s="9">
        <v>610.98</v>
      </c>
      <c r="D1965">
        <v>1100</v>
      </c>
      <c r="E1965" s="8">
        <v>1.8003862646895152</v>
      </c>
      <c r="F1965" s="7">
        <v>0.55543636363636362</v>
      </c>
      <c r="G1965">
        <v>2021</v>
      </c>
    </row>
    <row r="1966" spans="1:7" x14ac:dyDescent="0.25">
      <c r="A1966" t="s">
        <v>21</v>
      </c>
      <c r="B1966" s="3">
        <v>44317</v>
      </c>
      <c r="C1966" s="9">
        <v>616.96</v>
      </c>
      <c r="D1966">
        <v>1100</v>
      </c>
      <c r="E1966" s="8">
        <v>1.7829356846473028</v>
      </c>
      <c r="F1966" s="7">
        <v>0.5608727272727273</v>
      </c>
      <c r="G1966">
        <v>2021</v>
      </c>
    </row>
    <row r="1967" spans="1:7" x14ac:dyDescent="0.25">
      <c r="A1967" t="s">
        <v>21</v>
      </c>
      <c r="B1967" s="3">
        <v>44348</v>
      </c>
      <c r="C1967" s="9">
        <v>611.29</v>
      </c>
      <c r="D1967">
        <v>1100</v>
      </c>
      <c r="E1967" s="8">
        <v>1.7994732451046149</v>
      </c>
      <c r="F1967" s="7">
        <v>0.55571818181818178</v>
      </c>
      <c r="G1967">
        <v>2021</v>
      </c>
    </row>
    <row r="1968" spans="1:7" x14ac:dyDescent="0.25">
      <c r="A1968" t="s">
        <v>21</v>
      </c>
      <c r="B1968" s="3">
        <v>44378</v>
      </c>
      <c r="C1968" s="9">
        <v>612.45000000000005</v>
      </c>
      <c r="D1968">
        <v>1100</v>
      </c>
      <c r="E1968" s="8">
        <v>1.7960649848967261</v>
      </c>
      <c r="F1968" s="7">
        <v>0.55677272727272731</v>
      </c>
      <c r="G1968">
        <v>2021</v>
      </c>
    </row>
    <row r="1969" spans="1:7" x14ac:dyDescent="0.25">
      <c r="A1969" t="s">
        <v>21</v>
      </c>
      <c r="B1969" s="3">
        <v>44409</v>
      </c>
      <c r="C1969" s="9">
        <v>618.96</v>
      </c>
      <c r="D1969">
        <v>1100</v>
      </c>
      <c r="E1969" s="8">
        <v>1.7771746154840375</v>
      </c>
      <c r="F1969" s="7">
        <v>0.56269090909090913</v>
      </c>
      <c r="G1969">
        <v>2021</v>
      </c>
    </row>
    <row r="1970" spans="1:7" x14ac:dyDescent="0.25">
      <c r="A1970" t="s">
        <v>21</v>
      </c>
      <c r="B1970" s="3">
        <v>44440</v>
      </c>
      <c r="C1970" s="9">
        <v>633.03</v>
      </c>
      <c r="D1970">
        <v>1100</v>
      </c>
      <c r="E1970" s="8">
        <v>1.7376743598249689</v>
      </c>
      <c r="F1970" s="7">
        <v>0.57548181818181821</v>
      </c>
      <c r="G1970">
        <v>2021</v>
      </c>
    </row>
    <row r="1971" spans="1:7" x14ac:dyDescent="0.25">
      <c r="A1971" t="s">
        <v>21</v>
      </c>
      <c r="B1971" s="3">
        <v>44470</v>
      </c>
      <c r="C1971" s="9">
        <v>670.99</v>
      </c>
      <c r="D1971">
        <v>1100</v>
      </c>
      <c r="E1971" s="8">
        <v>1.6393686940192849</v>
      </c>
      <c r="F1971" s="7">
        <v>0.60999090909090914</v>
      </c>
      <c r="G1971">
        <v>2021</v>
      </c>
    </row>
    <row r="1972" spans="1:7" x14ac:dyDescent="0.25">
      <c r="A1972" t="s">
        <v>21</v>
      </c>
      <c r="B1972" s="3">
        <v>44501</v>
      </c>
      <c r="C1972" s="9">
        <v>668.17</v>
      </c>
      <c r="D1972">
        <v>1100</v>
      </c>
      <c r="E1972" s="8">
        <v>1.6462876214137121</v>
      </c>
      <c r="F1972" s="7">
        <v>0.6074272727272727</v>
      </c>
      <c r="G1972">
        <v>2021</v>
      </c>
    </row>
    <row r="1973" spans="1:7" x14ac:dyDescent="0.25">
      <c r="A1973" t="s">
        <v>21</v>
      </c>
      <c r="B1973" s="3">
        <v>44531</v>
      </c>
      <c r="C1973" s="9">
        <v>662.01</v>
      </c>
      <c r="D1973">
        <v>1100</v>
      </c>
      <c r="E1973" s="8">
        <v>1.6616063201462214</v>
      </c>
      <c r="F1973" s="7">
        <v>0.60182727272727277</v>
      </c>
      <c r="G1973">
        <v>2021</v>
      </c>
    </row>
    <row r="1974" spans="1:7" x14ac:dyDescent="0.25">
      <c r="A1974" t="s">
        <v>21</v>
      </c>
      <c r="B1974" s="3">
        <v>44562</v>
      </c>
      <c r="C1974" s="9">
        <v>677.54</v>
      </c>
      <c r="D1974">
        <v>1212</v>
      </c>
      <c r="E1974" s="8">
        <v>1.7888242760575022</v>
      </c>
      <c r="F1974" s="7">
        <v>0.55902640264026404</v>
      </c>
      <c r="G1974">
        <v>2022</v>
      </c>
    </row>
    <row r="1975" spans="1:7" x14ac:dyDescent="0.25">
      <c r="A1975" t="s">
        <v>21</v>
      </c>
      <c r="B1975" s="3">
        <v>44593</v>
      </c>
      <c r="C1975" s="9">
        <v>682.54</v>
      </c>
      <c r="D1975">
        <v>1212</v>
      </c>
      <c r="E1975" s="8">
        <v>1.7757201043162307</v>
      </c>
      <c r="F1975" s="7">
        <v>0.56315181518151813</v>
      </c>
      <c r="G1975">
        <v>2022</v>
      </c>
    </row>
    <row r="1976" spans="1:7" x14ac:dyDescent="0.25">
      <c r="A1976" t="s">
        <v>21</v>
      </c>
      <c r="B1976" s="3">
        <v>44621</v>
      </c>
      <c r="C1976" s="9">
        <v>704.93</v>
      </c>
      <c r="D1976">
        <v>1212</v>
      </c>
      <c r="E1976" s="8">
        <v>1.7193196487594513</v>
      </c>
      <c r="F1976" s="7">
        <v>0.58162541254125411</v>
      </c>
      <c r="G1976">
        <v>2022</v>
      </c>
    </row>
    <row r="1977" spans="1:7" x14ac:dyDescent="0.25">
      <c r="A1977" t="s">
        <v>21</v>
      </c>
      <c r="B1977" s="3">
        <v>44652</v>
      </c>
      <c r="C1977" s="9">
        <v>729.31</v>
      </c>
      <c r="D1977">
        <v>1212</v>
      </c>
      <c r="E1977" s="8">
        <v>1.6618447573734079</v>
      </c>
      <c r="F1977" s="7">
        <v>0.6017409240924092</v>
      </c>
      <c r="G1977">
        <v>2022</v>
      </c>
    </row>
    <row r="1978" spans="1:7" x14ac:dyDescent="0.25">
      <c r="A1978" t="s">
        <v>21</v>
      </c>
      <c r="B1978" s="3">
        <v>44682</v>
      </c>
      <c r="C1978" s="9">
        <v>698.24</v>
      </c>
      <c r="D1978">
        <v>1212</v>
      </c>
      <c r="E1978" s="8">
        <v>1.7357928505957836</v>
      </c>
      <c r="F1978" s="7">
        <v>0.57610561056105614</v>
      </c>
      <c r="G1978">
        <v>2022</v>
      </c>
    </row>
    <row r="1979" spans="1:7" x14ac:dyDescent="0.25">
      <c r="A1979" t="s">
        <v>21</v>
      </c>
      <c r="B1979" s="3">
        <v>44713</v>
      </c>
      <c r="C1979" s="9">
        <v>692.84</v>
      </c>
      <c r="D1979">
        <v>1212</v>
      </c>
      <c r="E1979" s="8">
        <v>1.7493216327001904</v>
      </c>
      <c r="F1979" s="7">
        <v>0.57165016501650168</v>
      </c>
      <c r="G1979">
        <v>2022</v>
      </c>
    </row>
    <row r="1980" spans="1:7" x14ac:dyDescent="0.25">
      <c r="A1980" t="s">
        <v>21</v>
      </c>
      <c r="B1980" s="3">
        <v>44743</v>
      </c>
      <c r="C1980" s="9">
        <v>700.75</v>
      </c>
      <c r="D1980">
        <v>1212</v>
      </c>
      <c r="E1980" s="8">
        <v>1.7295754548697824</v>
      </c>
      <c r="F1980" s="7">
        <v>0.57817656765676573</v>
      </c>
      <c r="G1980">
        <v>2022</v>
      </c>
    </row>
    <row r="1981" spans="1:7" x14ac:dyDescent="0.25">
      <c r="A1981" t="s">
        <v>21</v>
      </c>
      <c r="B1981" s="3">
        <v>44774</v>
      </c>
      <c r="C1981" s="9">
        <v>697.39</v>
      </c>
      <c r="D1981">
        <v>1212</v>
      </c>
      <c r="E1981" s="8">
        <v>1.7379084873600139</v>
      </c>
      <c r="F1981" s="7">
        <v>0.57540429042904284</v>
      </c>
      <c r="G1981">
        <v>2022</v>
      </c>
    </row>
    <row r="1982" spans="1:7" x14ac:dyDescent="0.25">
      <c r="A1982" t="s">
        <v>21</v>
      </c>
      <c r="B1982" s="3">
        <v>44805</v>
      </c>
      <c r="C1982" s="9">
        <v>686.26</v>
      </c>
      <c r="D1982">
        <v>1212</v>
      </c>
      <c r="E1982" s="8">
        <v>1.7660944831405008</v>
      </c>
      <c r="F1982" s="7">
        <v>0.56622112211221121</v>
      </c>
      <c r="G1982">
        <v>2022</v>
      </c>
    </row>
    <row r="1983" spans="1:7" x14ac:dyDescent="0.25">
      <c r="A1983" t="s">
        <v>21</v>
      </c>
      <c r="B1983" s="3">
        <v>44835</v>
      </c>
      <c r="C1983" s="9">
        <v>707.78</v>
      </c>
      <c r="D1983">
        <v>1212</v>
      </c>
      <c r="E1983" s="8">
        <v>1.7123965073893019</v>
      </c>
      <c r="F1983" s="7">
        <v>0.5839768976897689</v>
      </c>
      <c r="G1983">
        <v>2022</v>
      </c>
    </row>
    <row r="1984" spans="1:7" x14ac:dyDescent="0.25">
      <c r="A1984" t="s">
        <v>21</v>
      </c>
      <c r="B1984" s="3">
        <v>44866</v>
      </c>
      <c r="C1984" s="9">
        <v>713.57</v>
      </c>
      <c r="D1984">
        <v>1212</v>
      </c>
      <c r="E1984" s="8">
        <v>1.6985018989027003</v>
      </c>
      <c r="F1984" s="7">
        <v>0.58875412541254124</v>
      </c>
      <c r="G1984">
        <v>2022</v>
      </c>
    </row>
    <row r="1985" spans="1:7" x14ac:dyDescent="0.25">
      <c r="A1985" t="s">
        <v>21</v>
      </c>
      <c r="B1985" s="3">
        <v>44896</v>
      </c>
      <c r="C1985" s="9">
        <v>728.78</v>
      </c>
      <c r="D1985">
        <v>1212</v>
      </c>
      <c r="E1985" s="8">
        <v>1.6630533219901755</v>
      </c>
      <c r="F1985" s="7">
        <v>0.60130363036303625</v>
      </c>
      <c r="G1985">
        <v>2022</v>
      </c>
    </row>
    <row r="1986" spans="1:7" x14ac:dyDescent="0.25">
      <c r="A1986" t="s">
        <v>21</v>
      </c>
      <c r="B1986" s="3">
        <v>44927</v>
      </c>
      <c r="C1986" s="9">
        <v>726.23</v>
      </c>
      <c r="D1986">
        <v>1302</v>
      </c>
      <c r="E1986" s="8">
        <v>1.792820456329262</v>
      </c>
      <c r="F1986" s="7">
        <v>0.55778033794162829</v>
      </c>
      <c r="G1986">
        <v>2023</v>
      </c>
    </row>
    <row r="1987" spans="1:7" x14ac:dyDescent="0.25">
      <c r="A1987" t="s">
        <v>21</v>
      </c>
      <c r="B1987" s="3">
        <v>44958</v>
      </c>
      <c r="C1987" s="9">
        <v>709.21</v>
      </c>
      <c r="D1987">
        <v>1302</v>
      </c>
      <c r="E1987" s="8">
        <v>1.8358455182527036</v>
      </c>
      <c r="F1987" s="7">
        <v>0.54470814132104461</v>
      </c>
      <c r="G1987">
        <v>2023</v>
      </c>
    </row>
    <row r="1988" spans="1:7" x14ac:dyDescent="0.25">
      <c r="A1988" t="s">
        <v>21</v>
      </c>
      <c r="B1988" s="3">
        <v>44986</v>
      </c>
      <c r="C1988" s="9">
        <v>699.16</v>
      </c>
      <c r="D1988">
        <v>1302</v>
      </c>
      <c r="E1988" s="8">
        <v>1.8622346816179416</v>
      </c>
      <c r="F1988" s="7">
        <v>0.53698924731182796</v>
      </c>
      <c r="G1988">
        <v>2023</v>
      </c>
    </row>
    <row r="1989" spans="1:7" x14ac:dyDescent="0.25">
      <c r="A1989" t="s">
        <v>21</v>
      </c>
      <c r="B1989" s="3">
        <v>45017</v>
      </c>
      <c r="C1989" s="9">
        <v>703.9</v>
      </c>
      <c r="D1989">
        <v>1302</v>
      </c>
      <c r="E1989" s="8">
        <v>1.8496945588862055</v>
      </c>
      <c r="F1989" s="7">
        <v>0.54062980030721963</v>
      </c>
      <c r="G1989">
        <v>2023</v>
      </c>
    </row>
    <row r="1990" spans="1:7" x14ac:dyDescent="0.25">
      <c r="A1990" t="s">
        <v>21</v>
      </c>
      <c r="B1990" s="3">
        <v>45047</v>
      </c>
      <c r="C1990" s="9">
        <v>706.06</v>
      </c>
      <c r="D1990">
        <v>1320</v>
      </c>
      <c r="E1990" s="8">
        <v>1.8695295017420617</v>
      </c>
      <c r="F1990" s="7">
        <v>0.53489393939393937</v>
      </c>
      <c r="G1990">
        <v>2023</v>
      </c>
    </row>
    <row r="1991" spans="1:7" x14ac:dyDescent="0.25">
      <c r="A1991" t="s">
        <v>21</v>
      </c>
      <c r="B1991" s="3">
        <v>45078</v>
      </c>
      <c r="C1991" s="9">
        <v>691.34</v>
      </c>
      <c r="D1991">
        <v>1320</v>
      </c>
      <c r="E1991" s="8">
        <v>1.9093354933896489</v>
      </c>
      <c r="F1991" s="7">
        <v>0.52374242424242423</v>
      </c>
      <c r="G1991">
        <v>2023</v>
      </c>
    </row>
    <row r="1992" spans="1:7" x14ac:dyDescent="0.25">
      <c r="A1992" t="s">
        <v>21</v>
      </c>
      <c r="B1992" s="3">
        <v>45108</v>
      </c>
      <c r="C1992" s="9">
        <v>674.54</v>
      </c>
      <c r="D1992">
        <v>1320</v>
      </c>
      <c r="E1992" s="8">
        <v>1.9568891392652772</v>
      </c>
      <c r="F1992" s="7">
        <v>0.51101515151515153</v>
      </c>
      <c r="G1992">
        <v>2023</v>
      </c>
    </row>
    <row r="1993" spans="1:7" x14ac:dyDescent="0.25">
      <c r="A1993" t="s">
        <v>21</v>
      </c>
      <c r="B1993" s="3">
        <v>45139</v>
      </c>
      <c r="C1993" s="9">
        <v>660.88</v>
      </c>
      <c r="D1993">
        <v>1320</v>
      </c>
      <c r="E1993" s="8">
        <v>1.9973368841544608</v>
      </c>
      <c r="F1993" s="7">
        <v>0.5006666666666667</v>
      </c>
      <c r="G1993">
        <v>2023</v>
      </c>
    </row>
    <row r="1994" spans="1:7" x14ac:dyDescent="0.25">
      <c r="A1994" t="s">
        <v>21</v>
      </c>
      <c r="B1994" s="3">
        <v>45170</v>
      </c>
      <c r="C1994" s="9">
        <v>681.91</v>
      </c>
      <c r="D1994">
        <v>1320</v>
      </c>
      <c r="E1994" s="8">
        <v>1.935739320438181</v>
      </c>
      <c r="F1994" s="7">
        <v>0.51659848484848481</v>
      </c>
      <c r="G1994">
        <v>2023</v>
      </c>
    </row>
    <row r="1995" spans="1:7" x14ac:dyDescent="0.25">
      <c r="A1995" t="s">
        <v>21</v>
      </c>
      <c r="B1995" s="3">
        <v>45200</v>
      </c>
      <c r="C1995" s="9">
        <v>675.16</v>
      </c>
      <c r="D1995">
        <v>1320</v>
      </c>
      <c r="E1995" s="8">
        <v>1.9550921263108005</v>
      </c>
      <c r="F1995" s="7">
        <v>0.51148484848484843</v>
      </c>
      <c r="G1995">
        <v>2023</v>
      </c>
    </row>
    <row r="1996" spans="1:7" x14ac:dyDescent="0.25">
      <c r="A1996" t="s">
        <v>21</v>
      </c>
      <c r="B1996" s="3">
        <v>45231</v>
      </c>
      <c r="C1996" s="9">
        <v>675.45</v>
      </c>
      <c r="D1996">
        <v>1320</v>
      </c>
      <c r="E1996" s="8">
        <v>1.9542527204086164</v>
      </c>
      <c r="F1996" s="7">
        <v>0.51170454545454547</v>
      </c>
      <c r="G1996">
        <v>2023</v>
      </c>
    </row>
    <row r="1997" spans="1:7" x14ac:dyDescent="0.25">
      <c r="A1997" t="s">
        <v>21</v>
      </c>
      <c r="B1997" s="3">
        <v>45261</v>
      </c>
      <c r="C1997" s="9">
        <v>688.86</v>
      </c>
      <c r="D1997">
        <v>1320</v>
      </c>
      <c r="E1997" s="8">
        <v>1.9162093894260082</v>
      </c>
      <c r="F1997" s="7">
        <v>0.52186363636363642</v>
      </c>
      <c r="G1997">
        <v>2023</v>
      </c>
    </row>
    <row r="1998" spans="1:7" x14ac:dyDescent="0.25">
      <c r="A1998" t="s">
        <v>21</v>
      </c>
      <c r="B1998" s="3">
        <v>45292</v>
      </c>
      <c r="C1998" s="9">
        <v>719.3</v>
      </c>
      <c r="D1998">
        <v>1412</v>
      </c>
      <c r="E1998" s="8">
        <v>1.9630196023912139</v>
      </c>
      <c r="F1998" s="7">
        <v>0.50941926345609057</v>
      </c>
      <c r="G1998">
        <v>2024</v>
      </c>
    </row>
    <row r="1999" spans="1:7" x14ac:dyDescent="0.25">
      <c r="A1999" t="s">
        <v>21</v>
      </c>
      <c r="B1999" s="3">
        <v>45323</v>
      </c>
      <c r="C1999" s="9">
        <v>731.83</v>
      </c>
      <c r="D1999">
        <v>1412</v>
      </c>
      <c r="E1999" s="8">
        <v>1.9294098356175613</v>
      </c>
      <c r="F1999" s="7">
        <v>0.51829320113314448</v>
      </c>
      <c r="G1999">
        <v>2024</v>
      </c>
    </row>
    <row r="2000" spans="1:7" x14ac:dyDescent="0.25">
      <c r="A2000" t="s">
        <v>21</v>
      </c>
      <c r="B2000" s="3">
        <v>45352</v>
      </c>
      <c r="C2000" s="9">
        <v>729.34</v>
      </c>
      <c r="D2000">
        <v>1412</v>
      </c>
      <c r="E2000" s="8">
        <v>1.9359969287300847</v>
      </c>
      <c r="F2000" s="7">
        <v>0.51652974504249294</v>
      </c>
      <c r="G2000">
        <v>2024</v>
      </c>
    </row>
    <row r="2001" spans="1:7" x14ac:dyDescent="0.25">
      <c r="A2001" t="s">
        <v>21</v>
      </c>
      <c r="B2001" s="3">
        <v>45383</v>
      </c>
      <c r="C2001" s="9">
        <v>726.82</v>
      </c>
      <c r="D2001">
        <v>1412</v>
      </c>
      <c r="E2001" s="8">
        <v>1.9427093365620096</v>
      </c>
      <c r="F2001" s="7">
        <v>0.51474504249291786</v>
      </c>
      <c r="G2001">
        <v>2024</v>
      </c>
    </row>
    <row r="2002" spans="1:7" x14ac:dyDescent="0.25">
      <c r="A2002" t="s">
        <v>21</v>
      </c>
      <c r="B2002" s="3">
        <v>45413</v>
      </c>
      <c r="C2002" s="9">
        <v>723.91</v>
      </c>
      <c r="D2002">
        <v>1412</v>
      </c>
      <c r="E2002" s="8">
        <v>1.9505187108894753</v>
      </c>
      <c r="F2002" s="7">
        <v>0.51268413597733709</v>
      </c>
      <c r="G2002">
        <v>2024</v>
      </c>
    </row>
    <row r="2003" spans="1:7" x14ac:dyDescent="0.25">
      <c r="A2003" t="s">
        <v>21</v>
      </c>
      <c r="B2003" s="3">
        <v>45444</v>
      </c>
      <c r="C2003" s="9">
        <v>718.43</v>
      </c>
      <c r="D2003">
        <v>1412</v>
      </c>
      <c r="E2003" s="8">
        <v>1.9653967679523408</v>
      </c>
      <c r="F2003" s="7">
        <v>0.50880311614730878</v>
      </c>
      <c r="G2003">
        <v>2024</v>
      </c>
    </row>
    <row r="2004" spans="1:7" x14ac:dyDescent="0.25">
      <c r="A2004" t="s">
        <v>21</v>
      </c>
      <c r="B2004" s="3">
        <v>45474</v>
      </c>
      <c r="C2004" s="9">
        <v>688.45</v>
      </c>
      <c r="D2004">
        <v>1412</v>
      </c>
      <c r="E2004" s="8">
        <v>2.0509840947054978</v>
      </c>
      <c r="F2004" s="7">
        <v>0.48757082152974507</v>
      </c>
      <c r="G2004">
        <v>2024</v>
      </c>
    </row>
    <row r="2005" spans="1:7" x14ac:dyDescent="0.25">
      <c r="A2005" t="s">
        <v>21</v>
      </c>
      <c r="B2005" s="3">
        <v>45505</v>
      </c>
      <c r="C2005" s="9">
        <v>684.21</v>
      </c>
      <c r="D2005">
        <v>1412</v>
      </c>
      <c r="E2005" s="8">
        <v>2.0636938951491501</v>
      </c>
      <c r="F2005" s="7">
        <v>0.48456798866855527</v>
      </c>
      <c r="G2005">
        <v>2024</v>
      </c>
    </row>
    <row r="2006" spans="1:7" x14ac:dyDescent="0.25">
      <c r="A2006" t="s">
        <v>21</v>
      </c>
      <c r="B2006" s="3">
        <v>45536</v>
      </c>
      <c r="C2006" s="9">
        <v>694.87</v>
      </c>
      <c r="D2006">
        <v>1412</v>
      </c>
      <c r="E2006" s="8">
        <v>2.0320347690934994</v>
      </c>
      <c r="F2006" s="7">
        <v>0.49211756373937676</v>
      </c>
      <c r="G2006">
        <v>2024</v>
      </c>
    </row>
    <row r="2007" spans="1:7" x14ac:dyDescent="0.25">
      <c r="A2007" t="s">
        <v>21</v>
      </c>
      <c r="B2007" s="3">
        <v>45566</v>
      </c>
      <c r="C2007" s="9">
        <v>708.06</v>
      </c>
      <c r="D2007">
        <v>1412</v>
      </c>
      <c r="E2007" s="8">
        <v>1.9941812840719715</v>
      </c>
      <c r="F2007" s="7">
        <v>0.50145892351274779</v>
      </c>
      <c r="G2007">
        <v>2024</v>
      </c>
    </row>
    <row r="2008" spans="1:7" x14ac:dyDescent="0.25">
      <c r="A2008" t="s">
        <v>21</v>
      </c>
      <c r="B2008" s="3">
        <v>45597</v>
      </c>
      <c r="C2008" s="9">
        <v>726.51</v>
      </c>
      <c r="D2008">
        <v>1412</v>
      </c>
      <c r="E2008" s="8">
        <v>1.9435382857772088</v>
      </c>
      <c r="F2008" s="7">
        <v>0.51452549575070816</v>
      </c>
      <c r="G2008">
        <v>2024</v>
      </c>
    </row>
    <row r="2009" spans="1:7" x14ac:dyDescent="0.25">
      <c r="A2009" t="s">
        <v>21</v>
      </c>
      <c r="B2009" s="3">
        <v>45627</v>
      </c>
      <c r="C2009" s="9">
        <v>747.42</v>
      </c>
      <c r="D2009">
        <v>1412</v>
      </c>
      <c r="E2009" s="8">
        <v>1.8891653956276258</v>
      </c>
      <c r="F2009" s="7">
        <v>0.52933427762039653</v>
      </c>
      <c r="G2009">
        <v>2024</v>
      </c>
    </row>
    <row r="2010" spans="1:7" x14ac:dyDescent="0.25">
      <c r="A2010" t="s">
        <v>21</v>
      </c>
      <c r="B2010" s="3">
        <v>45658</v>
      </c>
      <c r="C2010" s="9">
        <v>735.31</v>
      </c>
      <c r="D2010">
        <v>1518</v>
      </c>
      <c r="E2010" s="8">
        <v>2.064435408195183</v>
      </c>
      <c r="F2010" s="7">
        <v>0.48439393939393938</v>
      </c>
      <c r="G2010">
        <v>2025</v>
      </c>
    </row>
    <row r="2011" spans="1:7" x14ac:dyDescent="0.25">
      <c r="A2011" t="s">
        <v>21</v>
      </c>
      <c r="B2011" s="3">
        <v>45689</v>
      </c>
      <c r="C2011" s="9">
        <v>745.49</v>
      </c>
      <c r="D2011">
        <v>1518</v>
      </c>
      <c r="E2011" s="8">
        <v>2.0362446176340394</v>
      </c>
      <c r="F2011" s="7">
        <v>0.49110013175230566</v>
      </c>
      <c r="G2011">
        <v>2025</v>
      </c>
    </row>
    <row r="2012" spans="1:7" x14ac:dyDescent="0.25">
      <c r="A2012" t="s">
        <v>21</v>
      </c>
      <c r="B2012" s="3">
        <v>45717</v>
      </c>
      <c r="C2012" s="9">
        <v>762.94</v>
      </c>
      <c r="D2012">
        <v>1518</v>
      </c>
      <c r="E2012" s="8">
        <v>1.9896715338034445</v>
      </c>
      <c r="F2012" s="7">
        <v>0.50259552042160738</v>
      </c>
      <c r="G2012">
        <v>2025</v>
      </c>
    </row>
    <row r="2013" spans="1:7" x14ac:dyDescent="0.25">
      <c r="A2013" t="s">
        <v>21</v>
      </c>
      <c r="B2013" s="3">
        <v>45748</v>
      </c>
      <c r="C2013" s="9">
        <v>793.86</v>
      </c>
      <c r="D2013">
        <v>1518</v>
      </c>
      <c r="E2013" s="8">
        <v>1.9121759504194693</v>
      </c>
      <c r="F2013" s="7">
        <v>0.52296442687747036</v>
      </c>
      <c r="G2013">
        <v>2025</v>
      </c>
    </row>
    <row r="2014" spans="1:7" x14ac:dyDescent="0.25">
      <c r="A2014" t="s">
        <v>21</v>
      </c>
      <c r="B2014" s="3">
        <v>45778</v>
      </c>
      <c r="C2014" s="9">
        <v>784.96</v>
      </c>
      <c r="D2014">
        <v>1518</v>
      </c>
      <c r="E2014" s="8">
        <v>1.9338565022421523</v>
      </c>
      <c r="F2014" s="7">
        <v>0.51710144927536239</v>
      </c>
      <c r="G2014">
        <v>2025</v>
      </c>
    </row>
    <row r="2015" spans="1:7" x14ac:dyDescent="0.25">
      <c r="A2015" t="s">
        <v>21</v>
      </c>
      <c r="B2015" s="3">
        <v>45809</v>
      </c>
      <c r="C2015" s="9">
        <v>782.39</v>
      </c>
      <c r="D2015">
        <v>1518</v>
      </c>
      <c r="E2015" s="8">
        <v>1.9402088472500927</v>
      </c>
      <c r="F2015" s="7">
        <v>0.5154084321475626</v>
      </c>
      <c r="G2015">
        <v>2025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8801B-8264-41E2-A374-0FAB5315D365}">
  <dimension ref="A1:B127"/>
  <sheetViews>
    <sheetView workbookViewId="0"/>
  </sheetViews>
  <sheetFormatPr defaultRowHeight="15" x14ac:dyDescent="0.25"/>
  <cols>
    <col min="1" max="1" width="10.7109375" bestFit="1" customWidth="1"/>
    <col min="2" max="2" width="17.140625" bestFit="1" customWidth="1"/>
  </cols>
  <sheetData>
    <row r="1" spans="1:2" x14ac:dyDescent="0.25">
      <c r="A1" t="s">
        <v>25</v>
      </c>
      <c r="B1" t="s">
        <v>23</v>
      </c>
    </row>
    <row r="2" spans="1:2" x14ac:dyDescent="0.25">
      <c r="A2" s="3">
        <v>42005</v>
      </c>
      <c r="B2">
        <v>788</v>
      </c>
    </row>
    <row r="3" spans="1:2" x14ac:dyDescent="0.25">
      <c r="A3" s="3">
        <v>42036</v>
      </c>
      <c r="B3">
        <v>788</v>
      </c>
    </row>
    <row r="4" spans="1:2" x14ac:dyDescent="0.25">
      <c r="A4" s="3">
        <v>42064</v>
      </c>
      <c r="B4">
        <v>788</v>
      </c>
    </row>
    <row r="5" spans="1:2" x14ac:dyDescent="0.25">
      <c r="A5" s="3">
        <v>42095</v>
      </c>
      <c r="B5">
        <v>788</v>
      </c>
    </row>
    <row r="6" spans="1:2" x14ac:dyDescent="0.25">
      <c r="A6" s="3">
        <v>42125</v>
      </c>
      <c r="B6">
        <v>788</v>
      </c>
    </row>
    <row r="7" spans="1:2" x14ac:dyDescent="0.25">
      <c r="A7" s="3">
        <v>42156</v>
      </c>
      <c r="B7">
        <v>788</v>
      </c>
    </row>
    <row r="8" spans="1:2" x14ac:dyDescent="0.25">
      <c r="A8" s="3">
        <v>42186</v>
      </c>
      <c r="B8">
        <v>788</v>
      </c>
    </row>
    <row r="9" spans="1:2" x14ac:dyDescent="0.25">
      <c r="A9" s="3">
        <v>42217</v>
      </c>
      <c r="B9">
        <v>788</v>
      </c>
    </row>
    <row r="10" spans="1:2" x14ac:dyDescent="0.25">
      <c r="A10" s="3">
        <v>42248</v>
      </c>
      <c r="B10">
        <v>788</v>
      </c>
    </row>
    <row r="11" spans="1:2" x14ac:dyDescent="0.25">
      <c r="A11" s="3">
        <v>42278</v>
      </c>
      <c r="B11">
        <v>788</v>
      </c>
    </row>
    <row r="12" spans="1:2" x14ac:dyDescent="0.25">
      <c r="A12" s="3">
        <v>42309</v>
      </c>
      <c r="B12">
        <v>788</v>
      </c>
    </row>
    <row r="13" spans="1:2" x14ac:dyDescent="0.25">
      <c r="A13" s="3">
        <v>42339</v>
      </c>
      <c r="B13">
        <v>788</v>
      </c>
    </row>
    <row r="14" spans="1:2" x14ac:dyDescent="0.25">
      <c r="A14" s="3">
        <v>42370</v>
      </c>
      <c r="B14">
        <v>880</v>
      </c>
    </row>
    <row r="15" spans="1:2" x14ac:dyDescent="0.25">
      <c r="A15" s="3">
        <v>42401</v>
      </c>
      <c r="B15">
        <v>880</v>
      </c>
    </row>
    <row r="16" spans="1:2" x14ac:dyDescent="0.25">
      <c r="A16" s="3">
        <v>42430</v>
      </c>
      <c r="B16">
        <v>880</v>
      </c>
    </row>
    <row r="17" spans="1:2" x14ac:dyDescent="0.25">
      <c r="A17" s="3">
        <v>42461</v>
      </c>
      <c r="B17">
        <v>880</v>
      </c>
    </row>
    <row r="18" spans="1:2" x14ac:dyDescent="0.25">
      <c r="A18" s="3">
        <v>42491</v>
      </c>
      <c r="B18">
        <v>880</v>
      </c>
    </row>
    <row r="19" spans="1:2" x14ac:dyDescent="0.25">
      <c r="A19" s="3">
        <v>42522</v>
      </c>
      <c r="B19">
        <v>880</v>
      </c>
    </row>
    <row r="20" spans="1:2" x14ac:dyDescent="0.25">
      <c r="A20" s="3">
        <v>42552</v>
      </c>
      <c r="B20">
        <v>880</v>
      </c>
    </row>
    <row r="21" spans="1:2" x14ac:dyDescent="0.25">
      <c r="A21" s="3">
        <v>42583</v>
      </c>
      <c r="B21">
        <v>880</v>
      </c>
    </row>
    <row r="22" spans="1:2" x14ac:dyDescent="0.25">
      <c r="A22" s="3">
        <v>42614</v>
      </c>
      <c r="B22">
        <v>880</v>
      </c>
    </row>
    <row r="23" spans="1:2" x14ac:dyDescent="0.25">
      <c r="A23" s="3">
        <v>42644</v>
      </c>
      <c r="B23">
        <v>880</v>
      </c>
    </row>
    <row r="24" spans="1:2" x14ac:dyDescent="0.25">
      <c r="A24" s="3">
        <v>42675</v>
      </c>
      <c r="B24">
        <v>880</v>
      </c>
    </row>
    <row r="25" spans="1:2" x14ac:dyDescent="0.25">
      <c r="A25" s="3">
        <v>42705</v>
      </c>
      <c r="B25">
        <v>880</v>
      </c>
    </row>
    <row r="26" spans="1:2" x14ac:dyDescent="0.25">
      <c r="A26" s="3">
        <v>42736</v>
      </c>
      <c r="B26">
        <v>937</v>
      </c>
    </row>
    <row r="27" spans="1:2" x14ac:dyDescent="0.25">
      <c r="A27" s="3">
        <v>42767</v>
      </c>
      <c r="B27">
        <v>937</v>
      </c>
    </row>
    <row r="28" spans="1:2" x14ac:dyDescent="0.25">
      <c r="A28" s="3">
        <v>42795</v>
      </c>
      <c r="B28">
        <v>937</v>
      </c>
    </row>
    <row r="29" spans="1:2" x14ac:dyDescent="0.25">
      <c r="A29" s="3">
        <v>42826</v>
      </c>
      <c r="B29">
        <v>937</v>
      </c>
    </row>
    <row r="30" spans="1:2" x14ac:dyDescent="0.25">
      <c r="A30" s="3">
        <v>42856</v>
      </c>
      <c r="B30">
        <v>937</v>
      </c>
    </row>
    <row r="31" spans="1:2" x14ac:dyDescent="0.25">
      <c r="A31" s="3">
        <v>42887</v>
      </c>
      <c r="B31">
        <v>937</v>
      </c>
    </row>
    <row r="32" spans="1:2" x14ac:dyDescent="0.25">
      <c r="A32" s="3">
        <v>42917</v>
      </c>
      <c r="B32">
        <v>937</v>
      </c>
    </row>
    <row r="33" spans="1:2" x14ac:dyDescent="0.25">
      <c r="A33" s="3">
        <v>42948</v>
      </c>
      <c r="B33">
        <v>937</v>
      </c>
    </row>
    <row r="34" spans="1:2" x14ac:dyDescent="0.25">
      <c r="A34" s="3">
        <v>42979</v>
      </c>
      <c r="B34">
        <v>937</v>
      </c>
    </row>
    <row r="35" spans="1:2" x14ac:dyDescent="0.25">
      <c r="A35" s="3">
        <v>43009</v>
      </c>
      <c r="B35">
        <v>937</v>
      </c>
    </row>
    <row r="36" spans="1:2" x14ac:dyDescent="0.25">
      <c r="A36" s="3">
        <v>43040</v>
      </c>
      <c r="B36">
        <v>937</v>
      </c>
    </row>
    <row r="37" spans="1:2" x14ac:dyDescent="0.25">
      <c r="A37" s="3">
        <v>43070</v>
      </c>
      <c r="B37">
        <v>937</v>
      </c>
    </row>
    <row r="38" spans="1:2" x14ac:dyDescent="0.25">
      <c r="A38" s="3">
        <v>43101</v>
      </c>
      <c r="B38">
        <v>954</v>
      </c>
    </row>
    <row r="39" spans="1:2" x14ac:dyDescent="0.25">
      <c r="A39" s="3">
        <v>43132</v>
      </c>
      <c r="B39">
        <v>954</v>
      </c>
    </row>
    <row r="40" spans="1:2" x14ac:dyDescent="0.25">
      <c r="A40" s="3">
        <v>43160</v>
      </c>
      <c r="B40">
        <v>954</v>
      </c>
    </row>
    <row r="41" spans="1:2" x14ac:dyDescent="0.25">
      <c r="A41" s="3">
        <v>43191</v>
      </c>
      <c r="B41">
        <v>954</v>
      </c>
    </row>
    <row r="42" spans="1:2" x14ac:dyDescent="0.25">
      <c r="A42" s="3">
        <v>43221</v>
      </c>
      <c r="B42">
        <v>954</v>
      </c>
    </row>
    <row r="43" spans="1:2" x14ac:dyDescent="0.25">
      <c r="A43" s="3">
        <v>43252</v>
      </c>
      <c r="B43">
        <v>954</v>
      </c>
    </row>
    <row r="44" spans="1:2" x14ac:dyDescent="0.25">
      <c r="A44" s="3">
        <v>43282</v>
      </c>
      <c r="B44">
        <v>954</v>
      </c>
    </row>
    <row r="45" spans="1:2" x14ac:dyDescent="0.25">
      <c r="A45" s="3">
        <v>43313</v>
      </c>
      <c r="B45">
        <v>954</v>
      </c>
    </row>
    <row r="46" spans="1:2" x14ac:dyDescent="0.25">
      <c r="A46" s="3">
        <v>43344</v>
      </c>
      <c r="B46">
        <v>954</v>
      </c>
    </row>
    <row r="47" spans="1:2" x14ac:dyDescent="0.25">
      <c r="A47" s="3">
        <v>43374</v>
      </c>
      <c r="B47">
        <v>954</v>
      </c>
    </row>
    <row r="48" spans="1:2" x14ac:dyDescent="0.25">
      <c r="A48" s="3">
        <v>43405</v>
      </c>
      <c r="B48">
        <v>954</v>
      </c>
    </row>
    <row r="49" spans="1:2" x14ac:dyDescent="0.25">
      <c r="A49" s="3">
        <v>43435</v>
      </c>
      <c r="B49">
        <v>954</v>
      </c>
    </row>
    <row r="50" spans="1:2" x14ac:dyDescent="0.25">
      <c r="A50" s="3">
        <v>43466</v>
      </c>
      <c r="B50">
        <v>998</v>
      </c>
    </row>
    <row r="51" spans="1:2" x14ac:dyDescent="0.25">
      <c r="A51" s="3">
        <v>43497</v>
      </c>
      <c r="B51">
        <v>998</v>
      </c>
    </row>
    <row r="52" spans="1:2" x14ac:dyDescent="0.25">
      <c r="A52" s="3">
        <v>43525</v>
      </c>
      <c r="B52">
        <v>998</v>
      </c>
    </row>
    <row r="53" spans="1:2" x14ac:dyDescent="0.25">
      <c r="A53" s="3">
        <v>43556</v>
      </c>
      <c r="B53">
        <v>998</v>
      </c>
    </row>
    <row r="54" spans="1:2" x14ac:dyDescent="0.25">
      <c r="A54" s="3">
        <v>43586</v>
      </c>
      <c r="B54">
        <v>998</v>
      </c>
    </row>
    <row r="55" spans="1:2" x14ac:dyDescent="0.25">
      <c r="A55" s="3">
        <v>43617</v>
      </c>
      <c r="B55">
        <v>998</v>
      </c>
    </row>
    <row r="56" spans="1:2" x14ac:dyDescent="0.25">
      <c r="A56" s="3">
        <v>43647</v>
      </c>
      <c r="B56">
        <v>998</v>
      </c>
    </row>
    <row r="57" spans="1:2" x14ac:dyDescent="0.25">
      <c r="A57" s="3">
        <v>43678</v>
      </c>
      <c r="B57">
        <v>998</v>
      </c>
    </row>
    <row r="58" spans="1:2" x14ac:dyDescent="0.25">
      <c r="A58" s="3">
        <v>43709</v>
      </c>
      <c r="B58">
        <v>998</v>
      </c>
    </row>
    <row r="59" spans="1:2" x14ac:dyDescent="0.25">
      <c r="A59" s="3">
        <v>43739</v>
      </c>
      <c r="B59">
        <v>998</v>
      </c>
    </row>
    <row r="60" spans="1:2" x14ac:dyDescent="0.25">
      <c r="A60" s="3">
        <v>43770</v>
      </c>
      <c r="B60">
        <v>998</v>
      </c>
    </row>
    <row r="61" spans="1:2" x14ac:dyDescent="0.25">
      <c r="A61" s="3">
        <v>43800</v>
      </c>
      <c r="B61">
        <v>998</v>
      </c>
    </row>
    <row r="62" spans="1:2" x14ac:dyDescent="0.25">
      <c r="A62" s="3">
        <v>43831</v>
      </c>
      <c r="B62">
        <v>1039</v>
      </c>
    </row>
    <row r="63" spans="1:2" x14ac:dyDescent="0.25">
      <c r="A63" s="3">
        <v>43862</v>
      </c>
      <c r="B63">
        <v>1045</v>
      </c>
    </row>
    <row r="64" spans="1:2" x14ac:dyDescent="0.25">
      <c r="A64" s="3">
        <v>43891</v>
      </c>
      <c r="B64">
        <v>1045</v>
      </c>
    </row>
    <row r="65" spans="1:2" x14ac:dyDescent="0.25">
      <c r="A65" s="3">
        <v>43922</v>
      </c>
      <c r="B65">
        <v>1045</v>
      </c>
    </row>
    <row r="66" spans="1:2" x14ac:dyDescent="0.25">
      <c r="A66" s="3">
        <v>43952</v>
      </c>
      <c r="B66">
        <v>1045</v>
      </c>
    </row>
    <row r="67" spans="1:2" x14ac:dyDescent="0.25">
      <c r="A67" s="3">
        <v>43983</v>
      </c>
      <c r="B67">
        <v>1045</v>
      </c>
    </row>
    <row r="68" spans="1:2" x14ac:dyDescent="0.25">
      <c r="A68" s="3">
        <v>44013</v>
      </c>
      <c r="B68">
        <v>1045</v>
      </c>
    </row>
    <row r="69" spans="1:2" x14ac:dyDescent="0.25">
      <c r="A69" s="3">
        <v>44044</v>
      </c>
      <c r="B69">
        <v>1045</v>
      </c>
    </row>
    <row r="70" spans="1:2" x14ac:dyDescent="0.25">
      <c r="A70" s="3">
        <v>44075</v>
      </c>
      <c r="B70">
        <v>1045</v>
      </c>
    </row>
    <row r="71" spans="1:2" x14ac:dyDescent="0.25">
      <c r="A71" s="3">
        <v>44105</v>
      </c>
      <c r="B71">
        <v>1045</v>
      </c>
    </row>
    <row r="72" spans="1:2" x14ac:dyDescent="0.25">
      <c r="A72" s="3">
        <v>44136</v>
      </c>
      <c r="B72">
        <v>1045</v>
      </c>
    </row>
    <row r="73" spans="1:2" x14ac:dyDescent="0.25">
      <c r="A73" s="3">
        <v>44166</v>
      </c>
      <c r="B73">
        <v>1045</v>
      </c>
    </row>
    <row r="74" spans="1:2" x14ac:dyDescent="0.25">
      <c r="A74" s="3">
        <v>44197</v>
      </c>
      <c r="B74">
        <v>1100</v>
      </c>
    </row>
    <row r="75" spans="1:2" x14ac:dyDescent="0.25">
      <c r="A75" s="3">
        <v>44228</v>
      </c>
      <c r="B75">
        <v>1100</v>
      </c>
    </row>
    <row r="76" spans="1:2" x14ac:dyDescent="0.25">
      <c r="A76" s="3">
        <v>44256</v>
      </c>
      <c r="B76">
        <v>1100</v>
      </c>
    </row>
    <row r="77" spans="1:2" x14ac:dyDescent="0.25">
      <c r="A77" s="3">
        <v>44287</v>
      </c>
      <c r="B77">
        <v>1100</v>
      </c>
    </row>
    <row r="78" spans="1:2" x14ac:dyDescent="0.25">
      <c r="A78" s="3">
        <v>44317</v>
      </c>
      <c r="B78">
        <v>1100</v>
      </c>
    </row>
    <row r="79" spans="1:2" x14ac:dyDescent="0.25">
      <c r="A79" s="3">
        <v>44348</v>
      </c>
      <c r="B79">
        <v>1100</v>
      </c>
    </row>
    <row r="80" spans="1:2" x14ac:dyDescent="0.25">
      <c r="A80" s="3">
        <v>44378</v>
      </c>
      <c r="B80">
        <v>1100</v>
      </c>
    </row>
    <row r="81" spans="1:2" x14ac:dyDescent="0.25">
      <c r="A81" s="3">
        <v>44409</v>
      </c>
      <c r="B81">
        <v>1100</v>
      </c>
    </row>
    <row r="82" spans="1:2" x14ac:dyDescent="0.25">
      <c r="A82" s="3">
        <v>44440</v>
      </c>
      <c r="B82">
        <v>1100</v>
      </c>
    </row>
    <row r="83" spans="1:2" x14ac:dyDescent="0.25">
      <c r="A83" s="3">
        <v>44470</v>
      </c>
      <c r="B83">
        <v>1100</v>
      </c>
    </row>
    <row r="84" spans="1:2" x14ac:dyDescent="0.25">
      <c r="A84" s="3">
        <v>44501</v>
      </c>
      <c r="B84">
        <v>1100</v>
      </c>
    </row>
    <row r="85" spans="1:2" x14ac:dyDescent="0.25">
      <c r="A85" s="3">
        <v>44531</v>
      </c>
      <c r="B85">
        <v>1100</v>
      </c>
    </row>
    <row r="86" spans="1:2" x14ac:dyDescent="0.25">
      <c r="A86" s="3">
        <v>44562</v>
      </c>
      <c r="B86">
        <v>1212</v>
      </c>
    </row>
    <row r="87" spans="1:2" x14ac:dyDescent="0.25">
      <c r="A87" s="3">
        <v>44593</v>
      </c>
      <c r="B87">
        <v>1212</v>
      </c>
    </row>
    <row r="88" spans="1:2" x14ac:dyDescent="0.25">
      <c r="A88" s="3">
        <v>44621</v>
      </c>
      <c r="B88">
        <v>1212</v>
      </c>
    </row>
    <row r="89" spans="1:2" x14ac:dyDescent="0.25">
      <c r="A89" s="3">
        <v>44652</v>
      </c>
      <c r="B89">
        <v>1212</v>
      </c>
    </row>
    <row r="90" spans="1:2" x14ac:dyDescent="0.25">
      <c r="A90" s="3">
        <v>44682</v>
      </c>
      <c r="B90">
        <v>1212</v>
      </c>
    </row>
    <row r="91" spans="1:2" x14ac:dyDescent="0.25">
      <c r="A91" s="3">
        <v>44713</v>
      </c>
      <c r="B91">
        <v>1212</v>
      </c>
    </row>
    <row r="92" spans="1:2" x14ac:dyDescent="0.25">
      <c r="A92" s="3">
        <v>44743</v>
      </c>
      <c r="B92">
        <v>1212</v>
      </c>
    </row>
    <row r="93" spans="1:2" x14ac:dyDescent="0.25">
      <c r="A93" s="3">
        <v>44774</v>
      </c>
      <c r="B93">
        <v>1212</v>
      </c>
    </row>
    <row r="94" spans="1:2" x14ac:dyDescent="0.25">
      <c r="A94" s="3">
        <v>44805</v>
      </c>
      <c r="B94">
        <v>1212</v>
      </c>
    </row>
    <row r="95" spans="1:2" x14ac:dyDescent="0.25">
      <c r="A95" s="3">
        <v>44835</v>
      </c>
      <c r="B95">
        <v>1212</v>
      </c>
    </row>
    <row r="96" spans="1:2" x14ac:dyDescent="0.25">
      <c r="A96" s="3">
        <v>44866</v>
      </c>
      <c r="B96">
        <v>1212</v>
      </c>
    </row>
    <row r="97" spans="1:2" x14ac:dyDescent="0.25">
      <c r="A97" s="3">
        <v>44896</v>
      </c>
      <c r="B97">
        <v>1212</v>
      </c>
    </row>
    <row r="98" spans="1:2" x14ac:dyDescent="0.25">
      <c r="A98" s="3">
        <v>44927</v>
      </c>
      <c r="B98">
        <v>1302</v>
      </c>
    </row>
    <row r="99" spans="1:2" x14ac:dyDescent="0.25">
      <c r="A99" s="3">
        <v>44958</v>
      </c>
      <c r="B99">
        <v>1302</v>
      </c>
    </row>
    <row r="100" spans="1:2" x14ac:dyDescent="0.25">
      <c r="A100" s="3">
        <v>44986</v>
      </c>
      <c r="B100">
        <v>1302</v>
      </c>
    </row>
    <row r="101" spans="1:2" x14ac:dyDescent="0.25">
      <c r="A101" s="3">
        <v>45017</v>
      </c>
      <c r="B101">
        <v>1302</v>
      </c>
    </row>
    <row r="102" spans="1:2" x14ac:dyDescent="0.25">
      <c r="A102" s="3">
        <v>45047</v>
      </c>
      <c r="B102">
        <v>1320</v>
      </c>
    </row>
    <row r="103" spans="1:2" x14ac:dyDescent="0.25">
      <c r="A103" s="3">
        <v>45078</v>
      </c>
      <c r="B103">
        <v>1320</v>
      </c>
    </row>
    <row r="104" spans="1:2" x14ac:dyDescent="0.25">
      <c r="A104" s="3">
        <v>45108</v>
      </c>
      <c r="B104">
        <v>1320</v>
      </c>
    </row>
    <row r="105" spans="1:2" x14ac:dyDescent="0.25">
      <c r="A105" s="3">
        <v>45139</v>
      </c>
      <c r="B105">
        <v>1320</v>
      </c>
    </row>
    <row r="106" spans="1:2" x14ac:dyDescent="0.25">
      <c r="A106" s="3">
        <v>45170</v>
      </c>
      <c r="B106">
        <v>1320</v>
      </c>
    </row>
    <row r="107" spans="1:2" x14ac:dyDescent="0.25">
      <c r="A107" s="3">
        <v>45200</v>
      </c>
      <c r="B107">
        <v>1320</v>
      </c>
    </row>
    <row r="108" spans="1:2" x14ac:dyDescent="0.25">
      <c r="A108" s="3">
        <v>45231</v>
      </c>
      <c r="B108">
        <v>1320</v>
      </c>
    </row>
    <row r="109" spans="1:2" x14ac:dyDescent="0.25">
      <c r="A109" s="3">
        <v>45261</v>
      </c>
      <c r="B109">
        <v>1320</v>
      </c>
    </row>
    <row r="110" spans="1:2" x14ac:dyDescent="0.25">
      <c r="A110" s="3">
        <v>45292</v>
      </c>
      <c r="B110">
        <v>1412</v>
      </c>
    </row>
    <row r="111" spans="1:2" x14ac:dyDescent="0.25">
      <c r="A111" s="3">
        <v>45323</v>
      </c>
      <c r="B111">
        <v>1412</v>
      </c>
    </row>
    <row r="112" spans="1:2" x14ac:dyDescent="0.25">
      <c r="A112" s="3">
        <v>45352</v>
      </c>
      <c r="B112">
        <v>1412</v>
      </c>
    </row>
    <row r="113" spans="1:2" x14ac:dyDescent="0.25">
      <c r="A113" s="3">
        <v>45383</v>
      </c>
      <c r="B113">
        <v>1412</v>
      </c>
    </row>
    <row r="114" spans="1:2" x14ac:dyDescent="0.25">
      <c r="A114" s="3">
        <v>45413</v>
      </c>
      <c r="B114">
        <v>1412</v>
      </c>
    </row>
    <row r="115" spans="1:2" x14ac:dyDescent="0.25">
      <c r="A115" s="3">
        <v>45444</v>
      </c>
      <c r="B115">
        <v>1412</v>
      </c>
    </row>
    <row r="116" spans="1:2" x14ac:dyDescent="0.25">
      <c r="A116" s="3">
        <v>45474</v>
      </c>
      <c r="B116">
        <v>1412</v>
      </c>
    </row>
    <row r="117" spans="1:2" x14ac:dyDescent="0.25">
      <c r="A117" s="3">
        <v>45505</v>
      </c>
      <c r="B117">
        <v>1412</v>
      </c>
    </row>
    <row r="118" spans="1:2" x14ac:dyDescent="0.25">
      <c r="A118" s="3">
        <v>45536</v>
      </c>
      <c r="B118">
        <v>1412</v>
      </c>
    </row>
    <row r="119" spans="1:2" x14ac:dyDescent="0.25">
      <c r="A119" s="3">
        <v>45566</v>
      </c>
      <c r="B119">
        <v>1412</v>
      </c>
    </row>
    <row r="120" spans="1:2" x14ac:dyDescent="0.25">
      <c r="A120" s="3">
        <v>45597</v>
      </c>
      <c r="B120">
        <v>1412</v>
      </c>
    </row>
    <row r="121" spans="1:2" x14ac:dyDescent="0.25">
      <c r="A121" s="3">
        <v>45627</v>
      </c>
      <c r="B121">
        <v>1412</v>
      </c>
    </row>
    <row r="122" spans="1:2" x14ac:dyDescent="0.25">
      <c r="A122" s="3">
        <v>45658</v>
      </c>
      <c r="B122">
        <v>1518</v>
      </c>
    </row>
    <row r="123" spans="1:2" x14ac:dyDescent="0.25">
      <c r="A123" s="3">
        <v>45689</v>
      </c>
      <c r="B123">
        <v>1518</v>
      </c>
    </row>
    <row r="124" spans="1:2" x14ac:dyDescent="0.25">
      <c r="A124" s="3">
        <v>45717</v>
      </c>
      <c r="B124">
        <v>1518</v>
      </c>
    </row>
    <row r="125" spans="1:2" x14ac:dyDescent="0.25">
      <c r="A125" s="3">
        <v>45748</v>
      </c>
      <c r="B125">
        <v>1518</v>
      </c>
    </row>
    <row r="126" spans="1:2" x14ac:dyDescent="0.25">
      <c r="A126" s="3">
        <v>45778</v>
      </c>
      <c r="B126">
        <v>1518</v>
      </c>
    </row>
    <row r="127" spans="1:2" x14ac:dyDescent="0.25">
      <c r="A127" s="3">
        <v>45809</v>
      </c>
      <c r="B127">
        <v>1518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53CED-DDAA-4B11-9D74-B3323EB57044}">
  <dimension ref="A1:J2141"/>
  <sheetViews>
    <sheetView workbookViewId="0">
      <selection activeCell="E14" sqref="E14"/>
    </sheetView>
  </sheetViews>
  <sheetFormatPr defaultRowHeight="15" x14ac:dyDescent="0.25"/>
  <cols>
    <col min="1" max="1" width="14.28515625" bestFit="1" customWidth="1"/>
    <col min="2" max="2" width="14.85546875" bestFit="1" customWidth="1"/>
    <col min="3" max="3" width="10.7109375" bestFit="1" customWidth="1"/>
    <col min="4" max="4" width="7.7109375" bestFit="1" customWidth="1"/>
  </cols>
  <sheetData>
    <row r="1" spans="1:10" x14ac:dyDescent="0.25">
      <c r="A1" t="s">
        <v>1</v>
      </c>
      <c r="B1" t="s">
        <v>2</v>
      </c>
      <c r="C1" t="s">
        <v>25</v>
      </c>
      <c r="D1" t="s">
        <v>26</v>
      </c>
    </row>
    <row r="2" spans="1:10" x14ac:dyDescent="0.25">
      <c r="A2" t="s">
        <v>4</v>
      </c>
      <c r="B2" t="s">
        <v>5</v>
      </c>
      <c r="C2" s="3">
        <v>42005</v>
      </c>
      <c r="D2">
        <v>264.83999999999997</v>
      </c>
    </row>
    <row r="3" spans="1:10" x14ac:dyDescent="0.25">
      <c r="A3" t="s">
        <v>4</v>
      </c>
      <c r="B3" t="s">
        <v>5</v>
      </c>
      <c r="C3" s="3">
        <v>42036</v>
      </c>
      <c r="D3">
        <v>264.67</v>
      </c>
    </row>
    <row r="4" spans="1:10" x14ac:dyDescent="0.25">
      <c r="A4" t="s">
        <v>4</v>
      </c>
      <c r="B4" t="s">
        <v>5</v>
      </c>
      <c r="C4" s="3">
        <v>42064</v>
      </c>
      <c r="D4">
        <v>273.20999999999998</v>
      </c>
    </row>
    <row r="5" spans="1:10" x14ac:dyDescent="0.25">
      <c r="A5" t="s">
        <v>4</v>
      </c>
      <c r="B5" t="s">
        <v>5</v>
      </c>
      <c r="C5" s="3">
        <v>42095</v>
      </c>
      <c r="D5">
        <v>281.61</v>
      </c>
      <c r="J5" s="4"/>
    </row>
    <row r="6" spans="1:10" x14ac:dyDescent="0.25">
      <c r="A6" t="s">
        <v>4</v>
      </c>
      <c r="B6" t="s">
        <v>5</v>
      </c>
      <c r="C6" s="3">
        <v>42125</v>
      </c>
      <c r="D6">
        <v>277.16000000000003</v>
      </c>
    </row>
    <row r="7" spans="1:10" x14ac:dyDescent="0.25">
      <c r="A7" t="s">
        <v>4</v>
      </c>
      <c r="B7" t="s">
        <v>5</v>
      </c>
      <c r="C7" s="3">
        <v>42156</v>
      </c>
      <c r="D7">
        <v>275.42</v>
      </c>
    </row>
    <row r="8" spans="1:10" x14ac:dyDescent="0.25">
      <c r="A8" t="s">
        <v>4</v>
      </c>
      <c r="B8" t="s">
        <v>5</v>
      </c>
      <c r="C8" s="3">
        <v>42186</v>
      </c>
      <c r="D8">
        <v>285.44</v>
      </c>
      <c r="F8" s="4"/>
    </row>
    <row r="9" spans="1:10" x14ac:dyDescent="0.25">
      <c r="A9" t="s">
        <v>4</v>
      </c>
      <c r="B9" t="s">
        <v>5</v>
      </c>
      <c r="C9" s="3">
        <v>42217</v>
      </c>
      <c r="D9">
        <v>283.02</v>
      </c>
    </row>
    <row r="10" spans="1:10" x14ac:dyDescent="0.25">
      <c r="A10" t="s">
        <v>4</v>
      </c>
      <c r="B10" t="s">
        <v>5</v>
      </c>
      <c r="C10" s="3">
        <v>42248</v>
      </c>
      <c r="D10">
        <v>280.26</v>
      </c>
    </row>
    <row r="11" spans="1:10" x14ac:dyDescent="0.25">
      <c r="A11" t="s">
        <v>4</v>
      </c>
      <c r="B11" t="s">
        <v>5</v>
      </c>
      <c r="C11" s="3">
        <v>42278</v>
      </c>
      <c r="D11">
        <v>282.87</v>
      </c>
    </row>
    <row r="12" spans="1:10" x14ac:dyDescent="0.25">
      <c r="A12" t="s">
        <v>4</v>
      </c>
      <c r="B12" t="s">
        <v>5</v>
      </c>
      <c r="C12" s="3">
        <v>42309</v>
      </c>
      <c r="D12">
        <v>291.8</v>
      </c>
    </row>
    <row r="13" spans="1:10" x14ac:dyDescent="0.25">
      <c r="A13" t="s">
        <v>4</v>
      </c>
      <c r="B13" t="s">
        <v>5</v>
      </c>
      <c r="C13" s="3">
        <v>42339</v>
      </c>
      <c r="D13">
        <v>296.82</v>
      </c>
    </row>
    <row r="14" spans="1:10" x14ac:dyDescent="0.25">
      <c r="A14" t="s">
        <v>4</v>
      </c>
      <c r="B14" t="s">
        <v>5</v>
      </c>
      <c r="C14" s="3">
        <v>42370</v>
      </c>
      <c r="D14">
        <v>350.73</v>
      </c>
    </row>
    <row r="15" spans="1:10" x14ac:dyDescent="0.25">
      <c r="A15" t="s">
        <v>4</v>
      </c>
      <c r="B15" t="s">
        <v>5</v>
      </c>
      <c r="C15" s="3">
        <v>42401</v>
      </c>
      <c r="D15">
        <v>362.09</v>
      </c>
    </row>
    <row r="16" spans="1:10" x14ac:dyDescent="0.25">
      <c r="A16" t="s">
        <v>4</v>
      </c>
      <c r="B16" t="s">
        <v>5</v>
      </c>
      <c r="C16" s="3">
        <v>42430</v>
      </c>
      <c r="D16">
        <v>349.32</v>
      </c>
    </row>
    <row r="17" spans="1:4" x14ac:dyDescent="0.25">
      <c r="A17" t="s">
        <v>4</v>
      </c>
      <c r="B17" t="s">
        <v>5</v>
      </c>
      <c r="C17" s="3">
        <v>42461</v>
      </c>
      <c r="D17">
        <v>348.24</v>
      </c>
    </row>
    <row r="18" spans="1:4" x14ac:dyDescent="0.25">
      <c r="A18" t="s">
        <v>4</v>
      </c>
      <c r="B18" t="s">
        <v>5</v>
      </c>
      <c r="C18" s="3">
        <v>42491</v>
      </c>
      <c r="D18">
        <v>334.83</v>
      </c>
    </row>
    <row r="19" spans="1:4" x14ac:dyDescent="0.25">
      <c r="A19" t="s">
        <v>4</v>
      </c>
      <c r="B19" t="s">
        <v>5</v>
      </c>
      <c r="C19" s="3">
        <v>42522</v>
      </c>
      <c r="D19">
        <v>376.73</v>
      </c>
    </row>
    <row r="20" spans="1:4" x14ac:dyDescent="0.25">
      <c r="A20" t="s">
        <v>4</v>
      </c>
      <c r="B20" t="s">
        <v>5</v>
      </c>
      <c r="C20" s="3">
        <v>42552</v>
      </c>
      <c r="D20">
        <v>379.29</v>
      </c>
    </row>
    <row r="21" spans="1:4" x14ac:dyDescent="0.25">
      <c r="A21" t="s">
        <v>4</v>
      </c>
      <c r="B21" t="s">
        <v>5</v>
      </c>
      <c r="C21" s="3">
        <v>42583</v>
      </c>
      <c r="D21">
        <v>370.7</v>
      </c>
    </row>
    <row r="22" spans="1:4" x14ac:dyDescent="0.25">
      <c r="A22" t="s">
        <v>4</v>
      </c>
      <c r="B22" t="s">
        <v>5</v>
      </c>
      <c r="C22" s="3">
        <v>42614</v>
      </c>
      <c r="D22">
        <v>371.3</v>
      </c>
    </row>
    <row r="23" spans="1:4" x14ac:dyDescent="0.25">
      <c r="A23" t="s">
        <v>4</v>
      </c>
      <c r="B23" t="s">
        <v>5</v>
      </c>
      <c r="C23" s="3">
        <v>42644</v>
      </c>
      <c r="D23">
        <v>378.17</v>
      </c>
    </row>
    <row r="24" spans="1:4" x14ac:dyDescent="0.25">
      <c r="A24" t="s">
        <v>4</v>
      </c>
      <c r="B24" t="s">
        <v>5</v>
      </c>
      <c r="C24" s="3">
        <v>42675</v>
      </c>
      <c r="D24">
        <v>368.52</v>
      </c>
    </row>
    <row r="25" spans="1:4" x14ac:dyDescent="0.25">
      <c r="A25" t="s">
        <v>4</v>
      </c>
      <c r="B25" t="s">
        <v>5</v>
      </c>
      <c r="C25" s="3">
        <v>42705</v>
      </c>
      <c r="D25">
        <v>349.68</v>
      </c>
    </row>
    <row r="26" spans="1:4" x14ac:dyDescent="0.25">
      <c r="A26" t="s">
        <v>4</v>
      </c>
      <c r="B26" t="s">
        <v>5</v>
      </c>
      <c r="C26" s="3">
        <v>42736</v>
      </c>
      <c r="D26">
        <v>357.52</v>
      </c>
    </row>
    <row r="27" spans="1:4" x14ac:dyDescent="0.25">
      <c r="A27" t="s">
        <v>4</v>
      </c>
      <c r="B27" t="s">
        <v>5</v>
      </c>
      <c r="C27" s="3">
        <v>42767</v>
      </c>
      <c r="D27">
        <v>344.72</v>
      </c>
    </row>
    <row r="28" spans="1:4" x14ac:dyDescent="0.25">
      <c r="A28" t="s">
        <v>4</v>
      </c>
      <c r="B28" t="s">
        <v>5</v>
      </c>
      <c r="C28" s="3">
        <v>42795</v>
      </c>
      <c r="D28">
        <v>351.81</v>
      </c>
    </row>
    <row r="29" spans="1:4" x14ac:dyDescent="0.25">
      <c r="A29" t="s">
        <v>4</v>
      </c>
      <c r="B29" t="s">
        <v>5</v>
      </c>
      <c r="C29" s="3">
        <v>42826</v>
      </c>
      <c r="D29">
        <v>363.87</v>
      </c>
    </row>
    <row r="30" spans="1:4" x14ac:dyDescent="0.25">
      <c r="A30" t="s">
        <v>4</v>
      </c>
      <c r="B30" t="s">
        <v>5</v>
      </c>
      <c r="C30" s="3">
        <v>42856</v>
      </c>
      <c r="D30">
        <v>371</v>
      </c>
    </row>
    <row r="31" spans="1:4" x14ac:dyDescent="0.25">
      <c r="A31" t="s">
        <v>4</v>
      </c>
      <c r="B31" t="s">
        <v>5</v>
      </c>
      <c r="C31" s="3">
        <v>42887</v>
      </c>
      <c r="D31">
        <v>365.55</v>
      </c>
    </row>
    <row r="32" spans="1:4" x14ac:dyDescent="0.25">
      <c r="A32" t="s">
        <v>4</v>
      </c>
      <c r="B32" t="s">
        <v>5</v>
      </c>
      <c r="C32" s="3">
        <v>42917</v>
      </c>
      <c r="D32">
        <v>364.27</v>
      </c>
    </row>
    <row r="33" spans="1:4" x14ac:dyDescent="0.25">
      <c r="A33" t="s">
        <v>4</v>
      </c>
      <c r="B33" t="s">
        <v>5</v>
      </c>
      <c r="C33" s="3">
        <v>42948</v>
      </c>
      <c r="D33">
        <v>353.85</v>
      </c>
    </row>
    <row r="34" spans="1:4" x14ac:dyDescent="0.25">
      <c r="A34" t="s">
        <v>4</v>
      </c>
      <c r="B34" t="s">
        <v>5</v>
      </c>
      <c r="C34" s="3">
        <v>42979</v>
      </c>
      <c r="D34">
        <v>344.16</v>
      </c>
    </row>
    <row r="35" spans="1:4" x14ac:dyDescent="0.25">
      <c r="A35" t="s">
        <v>4</v>
      </c>
      <c r="B35" t="s">
        <v>5</v>
      </c>
      <c r="C35" s="3">
        <v>43009</v>
      </c>
      <c r="D35">
        <v>340.47</v>
      </c>
    </row>
    <row r="36" spans="1:4" x14ac:dyDescent="0.25">
      <c r="A36" t="s">
        <v>4</v>
      </c>
      <c r="B36" t="s">
        <v>5</v>
      </c>
      <c r="C36" s="3">
        <v>43040</v>
      </c>
      <c r="D36">
        <v>341.09</v>
      </c>
    </row>
    <row r="37" spans="1:4" x14ac:dyDescent="0.25">
      <c r="A37" t="s">
        <v>4</v>
      </c>
      <c r="B37" t="s">
        <v>5</v>
      </c>
      <c r="C37" s="3">
        <v>43070</v>
      </c>
      <c r="D37">
        <v>340.02</v>
      </c>
    </row>
    <row r="38" spans="1:4" x14ac:dyDescent="0.25">
      <c r="A38" t="s">
        <v>4</v>
      </c>
      <c r="B38" t="s">
        <v>5</v>
      </c>
      <c r="C38" s="3">
        <v>43101</v>
      </c>
      <c r="D38">
        <v>349.97</v>
      </c>
    </row>
    <row r="39" spans="1:4" x14ac:dyDescent="0.25">
      <c r="A39" t="s">
        <v>4</v>
      </c>
      <c r="B39" t="s">
        <v>5</v>
      </c>
      <c r="C39" s="3">
        <v>43132</v>
      </c>
      <c r="D39">
        <v>341.59</v>
      </c>
    </row>
    <row r="40" spans="1:4" x14ac:dyDescent="0.25">
      <c r="A40" t="s">
        <v>4</v>
      </c>
      <c r="B40" t="s">
        <v>5</v>
      </c>
      <c r="C40" s="3">
        <v>43160</v>
      </c>
      <c r="D40">
        <v>339.77</v>
      </c>
    </row>
    <row r="41" spans="1:4" x14ac:dyDescent="0.25">
      <c r="A41" t="s">
        <v>4</v>
      </c>
      <c r="B41" t="s">
        <v>5</v>
      </c>
      <c r="C41" s="3">
        <v>43191</v>
      </c>
      <c r="D41">
        <v>342.39</v>
      </c>
    </row>
    <row r="42" spans="1:4" x14ac:dyDescent="0.25">
      <c r="A42" t="s">
        <v>4</v>
      </c>
      <c r="B42" t="s">
        <v>5</v>
      </c>
      <c r="C42" s="3">
        <v>43221</v>
      </c>
      <c r="D42">
        <v>349.29</v>
      </c>
    </row>
    <row r="43" spans="1:4" x14ac:dyDescent="0.25">
      <c r="A43" t="s">
        <v>4</v>
      </c>
      <c r="B43" t="s">
        <v>5</v>
      </c>
      <c r="C43" s="3">
        <v>43252</v>
      </c>
      <c r="D43">
        <v>349.55</v>
      </c>
    </row>
    <row r="44" spans="1:4" x14ac:dyDescent="0.25">
      <c r="A44" t="s">
        <v>4</v>
      </c>
      <c r="B44" t="s">
        <v>5</v>
      </c>
      <c r="C44" s="3">
        <v>43282</v>
      </c>
      <c r="D44">
        <v>344.89</v>
      </c>
    </row>
    <row r="45" spans="1:4" x14ac:dyDescent="0.25">
      <c r="A45" t="s">
        <v>4</v>
      </c>
      <c r="B45" t="s">
        <v>5</v>
      </c>
      <c r="C45" s="3">
        <v>43313</v>
      </c>
      <c r="D45">
        <v>344.92</v>
      </c>
    </row>
    <row r="46" spans="1:4" x14ac:dyDescent="0.25">
      <c r="A46" t="s">
        <v>4</v>
      </c>
      <c r="B46" t="s">
        <v>5</v>
      </c>
      <c r="C46" s="3">
        <v>43344</v>
      </c>
      <c r="D46">
        <v>342.34</v>
      </c>
    </row>
    <row r="47" spans="1:4" x14ac:dyDescent="0.25">
      <c r="A47" t="s">
        <v>4</v>
      </c>
      <c r="B47" t="s">
        <v>5</v>
      </c>
      <c r="C47" s="3">
        <v>43374</v>
      </c>
      <c r="D47">
        <v>342.5</v>
      </c>
    </row>
    <row r="48" spans="1:4" x14ac:dyDescent="0.25">
      <c r="A48" t="s">
        <v>4</v>
      </c>
      <c r="B48" t="s">
        <v>5</v>
      </c>
      <c r="C48" s="3">
        <v>43405</v>
      </c>
      <c r="D48">
        <v>349.76</v>
      </c>
    </row>
    <row r="49" spans="1:4" x14ac:dyDescent="0.25">
      <c r="A49" t="s">
        <v>4</v>
      </c>
      <c r="B49" t="s">
        <v>5</v>
      </c>
      <c r="C49" s="3">
        <v>43435</v>
      </c>
      <c r="D49">
        <v>358.75</v>
      </c>
    </row>
    <row r="50" spans="1:4" x14ac:dyDescent="0.25">
      <c r="A50" t="s">
        <v>4</v>
      </c>
      <c r="B50" t="s">
        <v>5</v>
      </c>
      <c r="C50" s="3">
        <v>43466</v>
      </c>
      <c r="D50">
        <v>356.56</v>
      </c>
    </row>
    <row r="51" spans="1:4" x14ac:dyDescent="0.25">
      <c r="A51" t="s">
        <v>4</v>
      </c>
      <c r="B51" t="s">
        <v>5</v>
      </c>
      <c r="C51" s="3">
        <v>43497</v>
      </c>
      <c r="D51">
        <v>379.61</v>
      </c>
    </row>
    <row r="52" spans="1:4" x14ac:dyDescent="0.25">
      <c r="A52" t="s">
        <v>4</v>
      </c>
      <c r="B52" t="s">
        <v>5</v>
      </c>
      <c r="C52" s="3">
        <v>43525</v>
      </c>
      <c r="D52">
        <v>385.62</v>
      </c>
    </row>
    <row r="53" spans="1:4" x14ac:dyDescent="0.25">
      <c r="A53" t="s">
        <v>4</v>
      </c>
      <c r="B53" t="s">
        <v>5</v>
      </c>
      <c r="C53" s="3">
        <v>43556</v>
      </c>
      <c r="D53">
        <v>404.68</v>
      </c>
    </row>
    <row r="54" spans="1:4" x14ac:dyDescent="0.25">
      <c r="A54" t="s">
        <v>4</v>
      </c>
      <c r="B54" t="s">
        <v>5</v>
      </c>
      <c r="C54" s="3">
        <v>43586</v>
      </c>
      <c r="D54">
        <v>408.16</v>
      </c>
    </row>
    <row r="55" spans="1:4" x14ac:dyDescent="0.25">
      <c r="A55" t="s">
        <v>4</v>
      </c>
      <c r="B55" t="s">
        <v>5</v>
      </c>
      <c r="C55" s="3">
        <v>43617</v>
      </c>
      <c r="D55">
        <v>383.09</v>
      </c>
    </row>
    <row r="56" spans="1:4" x14ac:dyDescent="0.25">
      <c r="A56" t="s">
        <v>4</v>
      </c>
      <c r="B56" t="s">
        <v>5</v>
      </c>
      <c r="C56" s="3">
        <v>43647</v>
      </c>
      <c r="D56">
        <v>359.95</v>
      </c>
    </row>
    <row r="57" spans="1:4" x14ac:dyDescent="0.25">
      <c r="A57" t="s">
        <v>4</v>
      </c>
      <c r="B57" t="s">
        <v>5</v>
      </c>
      <c r="C57" s="3">
        <v>43678</v>
      </c>
      <c r="D57">
        <v>337.96</v>
      </c>
    </row>
    <row r="58" spans="1:4" x14ac:dyDescent="0.25">
      <c r="A58" t="s">
        <v>4</v>
      </c>
      <c r="B58" t="s">
        <v>5</v>
      </c>
      <c r="C58" s="3">
        <v>43709</v>
      </c>
      <c r="D58">
        <v>328.7</v>
      </c>
    </row>
    <row r="59" spans="1:4" x14ac:dyDescent="0.25">
      <c r="A59" t="s">
        <v>4</v>
      </c>
      <c r="B59" t="s">
        <v>5</v>
      </c>
      <c r="C59" s="3">
        <v>43739</v>
      </c>
      <c r="D59">
        <v>325.01</v>
      </c>
    </row>
    <row r="60" spans="1:4" x14ac:dyDescent="0.25">
      <c r="A60" t="s">
        <v>4</v>
      </c>
      <c r="B60" t="s">
        <v>5</v>
      </c>
      <c r="C60" s="3">
        <v>43770</v>
      </c>
      <c r="D60">
        <v>325.39999999999998</v>
      </c>
    </row>
    <row r="61" spans="1:4" x14ac:dyDescent="0.25">
      <c r="A61" t="s">
        <v>4</v>
      </c>
      <c r="B61" t="s">
        <v>5</v>
      </c>
      <c r="C61" s="3">
        <v>43800</v>
      </c>
      <c r="D61">
        <v>351.97</v>
      </c>
    </row>
    <row r="62" spans="1:4" x14ac:dyDescent="0.25">
      <c r="A62" t="s">
        <v>4</v>
      </c>
      <c r="B62" t="s">
        <v>5</v>
      </c>
      <c r="C62" s="3">
        <v>43831</v>
      </c>
      <c r="D62">
        <v>368.69</v>
      </c>
    </row>
    <row r="63" spans="1:4" x14ac:dyDescent="0.25">
      <c r="A63" t="s">
        <v>4</v>
      </c>
      <c r="B63" t="s">
        <v>5</v>
      </c>
      <c r="C63" s="3">
        <v>43862</v>
      </c>
      <c r="D63">
        <v>371.22</v>
      </c>
    </row>
    <row r="64" spans="1:4" x14ac:dyDescent="0.25">
      <c r="A64" t="s">
        <v>4</v>
      </c>
      <c r="B64" t="s">
        <v>5</v>
      </c>
      <c r="C64" s="3">
        <v>43891</v>
      </c>
      <c r="D64">
        <v>390.2</v>
      </c>
    </row>
    <row r="65" spans="1:4" x14ac:dyDescent="0.25">
      <c r="A65" t="s">
        <v>4</v>
      </c>
      <c r="B65" t="s">
        <v>5</v>
      </c>
      <c r="C65" s="3">
        <v>43922</v>
      </c>
      <c r="D65">
        <v>401.37</v>
      </c>
    </row>
    <row r="66" spans="1:4" x14ac:dyDescent="0.25">
      <c r="A66" t="s">
        <v>4</v>
      </c>
      <c r="B66" t="s">
        <v>5</v>
      </c>
      <c r="C66" s="3">
        <v>43952</v>
      </c>
      <c r="D66">
        <v>400.15</v>
      </c>
    </row>
    <row r="67" spans="1:4" x14ac:dyDescent="0.25">
      <c r="A67" t="s">
        <v>4</v>
      </c>
      <c r="B67" t="s">
        <v>5</v>
      </c>
      <c r="C67" s="3">
        <v>43983</v>
      </c>
      <c r="D67">
        <v>420.03</v>
      </c>
    </row>
    <row r="68" spans="1:4" x14ac:dyDescent="0.25">
      <c r="A68" t="s">
        <v>4</v>
      </c>
      <c r="B68" t="s">
        <v>5</v>
      </c>
      <c r="C68" s="3">
        <v>44013</v>
      </c>
      <c r="D68">
        <v>392.75</v>
      </c>
    </row>
    <row r="69" spans="1:4" x14ac:dyDescent="0.25">
      <c r="A69" t="s">
        <v>4</v>
      </c>
      <c r="B69" t="s">
        <v>5</v>
      </c>
      <c r="C69" s="3">
        <v>44044</v>
      </c>
      <c r="D69">
        <v>398.47</v>
      </c>
    </row>
    <row r="70" spans="1:4" x14ac:dyDescent="0.25">
      <c r="A70" t="s">
        <v>4</v>
      </c>
      <c r="B70" t="s">
        <v>5</v>
      </c>
      <c r="C70" s="3">
        <v>44075</v>
      </c>
      <c r="D70">
        <v>427.11</v>
      </c>
    </row>
    <row r="71" spans="1:4" x14ac:dyDescent="0.25">
      <c r="A71" t="s">
        <v>4</v>
      </c>
      <c r="B71" t="s">
        <v>5</v>
      </c>
      <c r="C71" s="3">
        <v>44105</v>
      </c>
      <c r="D71">
        <v>442.26</v>
      </c>
    </row>
    <row r="72" spans="1:4" x14ac:dyDescent="0.25">
      <c r="A72" t="s">
        <v>4</v>
      </c>
      <c r="B72" t="s">
        <v>5</v>
      </c>
      <c r="C72" s="3">
        <v>44136</v>
      </c>
      <c r="D72">
        <v>451.32</v>
      </c>
    </row>
    <row r="73" spans="1:4" x14ac:dyDescent="0.25">
      <c r="A73" t="s">
        <v>4</v>
      </c>
      <c r="B73" t="s">
        <v>5</v>
      </c>
      <c r="C73" s="3">
        <v>44166</v>
      </c>
      <c r="D73">
        <v>453.16</v>
      </c>
    </row>
    <row r="74" spans="1:4" x14ac:dyDescent="0.25">
      <c r="A74" t="s">
        <v>4</v>
      </c>
      <c r="B74" t="s">
        <v>5</v>
      </c>
      <c r="C74" s="3">
        <v>44197</v>
      </c>
      <c r="D74">
        <v>450.84</v>
      </c>
    </row>
    <row r="75" spans="1:4" x14ac:dyDescent="0.25">
      <c r="A75" t="s">
        <v>4</v>
      </c>
      <c r="B75" t="s">
        <v>5</v>
      </c>
      <c r="C75" s="3">
        <v>44228</v>
      </c>
      <c r="D75">
        <v>445.9</v>
      </c>
    </row>
    <row r="76" spans="1:4" x14ac:dyDescent="0.25">
      <c r="A76" t="s">
        <v>4</v>
      </c>
      <c r="B76" t="s">
        <v>5</v>
      </c>
      <c r="C76" s="3">
        <v>44256</v>
      </c>
      <c r="D76">
        <v>468.79</v>
      </c>
    </row>
    <row r="77" spans="1:4" x14ac:dyDescent="0.25">
      <c r="A77" t="s">
        <v>4</v>
      </c>
      <c r="B77" t="s">
        <v>5</v>
      </c>
      <c r="C77" s="3">
        <v>44287</v>
      </c>
      <c r="D77">
        <v>469.66</v>
      </c>
    </row>
    <row r="78" spans="1:4" x14ac:dyDescent="0.25">
      <c r="A78" t="s">
        <v>4</v>
      </c>
      <c r="B78" t="s">
        <v>5</v>
      </c>
      <c r="C78" s="3">
        <v>44317</v>
      </c>
      <c r="D78">
        <v>468.43</v>
      </c>
    </row>
    <row r="79" spans="1:4" x14ac:dyDescent="0.25">
      <c r="A79" t="s">
        <v>4</v>
      </c>
      <c r="B79" t="s">
        <v>5</v>
      </c>
      <c r="C79" s="3">
        <v>44348</v>
      </c>
      <c r="D79">
        <v>470.97</v>
      </c>
    </row>
    <row r="80" spans="1:4" x14ac:dyDescent="0.25">
      <c r="A80" t="s">
        <v>4</v>
      </c>
      <c r="B80" t="s">
        <v>5</v>
      </c>
      <c r="C80" s="3">
        <v>44378</v>
      </c>
      <c r="D80">
        <v>488.42</v>
      </c>
    </row>
    <row r="81" spans="1:4" x14ac:dyDescent="0.25">
      <c r="A81" t="s">
        <v>4</v>
      </c>
      <c r="B81" t="s">
        <v>5</v>
      </c>
      <c r="C81" s="3">
        <v>44409</v>
      </c>
      <c r="D81">
        <v>456.4</v>
      </c>
    </row>
    <row r="82" spans="1:4" x14ac:dyDescent="0.25">
      <c r="A82" t="s">
        <v>4</v>
      </c>
      <c r="B82" t="s">
        <v>5</v>
      </c>
      <c r="C82" s="3">
        <v>44440</v>
      </c>
      <c r="D82">
        <v>454.03</v>
      </c>
    </row>
    <row r="83" spans="1:4" x14ac:dyDescent="0.25">
      <c r="A83" t="s">
        <v>4</v>
      </c>
      <c r="B83" t="s">
        <v>5</v>
      </c>
      <c r="C83" s="3">
        <v>44470</v>
      </c>
      <c r="D83">
        <v>464.17</v>
      </c>
    </row>
    <row r="84" spans="1:4" x14ac:dyDescent="0.25">
      <c r="A84" t="s">
        <v>4</v>
      </c>
      <c r="B84" t="s">
        <v>5</v>
      </c>
      <c r="C84" s="3">
        <v>44501</v>
      </c>
      <c r="D84">
        <v>473.26</v>
      </c>
    </row>
    <row r="85" spans="1:4" x14ac:dyDescent="0.25">
      <c r="A85" t="s">
        <v>4</v>
      </c>
      <c r="B85" t="s">
        <v>5</v>
      </c>
      <c r="C85" s="3">
        <v>44531</v>
      </c>
      <c r="D85">
        <v>478.05</v>
      </c>
    </row>
    <row r="86" spans="1:4" x14ac:dyDescent="0.25">
      <c r="A86" t="s">
        <v>4</v>
      </c>
      <c r="B86" t="s">
        <v>5</v>
      </c>
      <c r="C86" s="3">
        <v>44562</v>
      </c>
      <c r="D86">
        <v>507.82</v>
      </c>
    </row>
    <row r="87" spans="1:4" x14ac:dyDescent="0.25">
      <c r="A87" t="s">
        <v>4</v>
      </c>
      <c r="B87" t="s">
        <v>5</v>
      </c>
      <c r="C87" s="3">
        <v>44593</v>
      </c>
      <c r="D87">
        <v>516.82000000000005</v>
      </c>
    </row>
    <row r="88" spans="1:4" x14ac:dyDescent="0.25">
      <c r="A88" t="s">
        <v>4</v>
      </c>
      <c r="B88" t="s">
        <v>5</v>
      </c>
      <c r="C88" s="3">
        <v>44621</v>
      </c>
      <c r="D88">
        <v>524.99</v>
      </c>
    </row>
    <row r="89" spans="1:4" x14ac:dyDescent="0.25">
      <c r="A89" t="s">
        <v>4</v>
      </c>
      <c r="B89" t="s">
        <v>5</v>
      </c>
      <c r="C89" s="3">
        <v>44652</v>
      </c>
      <c r="D89">
        <v>551.47</v>
      </c>
    </row>
    <row r="90" spans="1:4" x14ac:dyDescent="0.25">
      <c r="A90" t="s">
        <v>4</v>
      </c>
      <c r="B90" t="s">
        <v>5</v>
      </c>
      <c r="C90" s="3">
        <v>44682</v>
      </c>
      <c r="D90">
        <v>548.38</v>
      </c>
    </row>
    <row r="91" spans="1:4" x14ac:dyDescent="0.25">
      <c r="A91" t="s">
        <v>4</v>
      </c>
      <c r="B91" t="s">
        <v>5</v>
      </c>
      <c r="C91" s="3">
        <v>44713</v>
      </c>
      <c r="D91">
        <v>549.91</v>
      </c>
    </row>
    <row r="92" spans="1:4" x14ac:dyDescent="0.25">
      <c r="A92" t="s">
        <v>4</v>
      </c>
      <c r="B92" t="s">
        <v>5</v>
      </c>
      <c r="C92" s="3">
        <v>44743</v>
      </c>
      <c r="D92">
        <v>542.5</v>
      </c>
    </row>
    <row r="93" spans="1:4" x14ac:dyDescent="0.25">
      <c r="A93" t="s">
        <v>4</v>
      </c>
      <c r="B93" t="s">
        <v>5</v>
      </c>
      <c r="C93" s="3">
        <v>44774</v>
      </c>
      <c r="D93">
        <v>539.57000000000005</v>
      </c>
    </row>
    <row r="94" spans="1:4" x14ac:dyDescent="0.25">
      <c r="A94" t="s">
        <v>4</v>
      </c>
      <c r="B94" t="s">
        <v>5</v>
      </c>
      <c r="C94" s="3">
        <v>44805</v>
      </c>
      <c r="D94">
        <v>518.67999999999995</v>
      </c>
    </row>
    <row r="95" spans="1:4" x14ac:dyDescent="0.25">
      <c r="A95" t="s">
        <v>4</v>
      </c>
      <c r="B95" t="s">
        <v>5</v>
      </c>
      <c r="C95" s="3">
        <v>44835</v>
      </c>
      <c r="D95">
        <v>515.51</v>
      </c>
    </row>
    <row r="96" spans="1:4" x14ac:dyDescent="0.25">
      <c r="A96" t="s">
        <v>4</v>
      </c>
      <c r="B96" t="s">
        <v>5</v>
      </c>
      <c r="C96" s="3">
        <v>44866</v>
      </c>
      <c r="D96">
        <v>511.97</v>
      </c>
    </row>
    <row r="97" spans="1:4" x14ac:dyDescent="0.25">
      <c r="A97" t="s">
        <v>4</v>
      </c>
      <c r="B97" t="s">
        <v>5</v>
      </c>
      <c r="C97" s="3">
        <v>44896</v>
      </c>
      <c r="D97">
        <v>521.04999999999995</v>
      </c>
    </row>
    <row r="98" spans="1:4" x14ac:dyDescent="0.25">
      <c r="A98" t="s">
        <v>4</v>
      </c>
      <c r="B98" t="s">
        <v>5</v>
      </c>
      <c r="C98" s="3">
        <v>44927</v>
      </c>
      <c r="D98">
        <v>555.28</v>
      </c>
    </row>
    <row r="99" spans="1:4" x14ac:dyDescent="0.25">
      <c r="A99" t="s">
        <v>4</v>
      </c>
      <c r="B99" t="s">
        <v>5</v>
      </c>
      <c r="C99" s="3">
        <v>44958</v>
      </c>
      <c r="D99">
        <v>552.97</v>
      </c>
    </row>
    <row r="100" spans="1:4" x14ac:dyDescent="0.25">
      <c r="A100" t="s">
        <v>4</v>
      </c>
      <c r="B100" t="s">
        <v>5</v>
      </c>
      <c r="C100" s="3">
        <v>44986</v>
      </c>
      <c r="D100">
        <v>546.14</v>
      </c>
    </row>
    <row r="101" spans="1:4" x14ac:dyDescent="0.25">
      <c r="A101" t="s">
        <v>4</v>
      </c>
      <c r="B101" t="s">
        <v>5</v>
      </c>
      <c r="C101" s="3">
        <v>45017</v>
      </c>
      <c r="D101">
        <v>553.89</v>
      </c>
    </row>
    <row r="102" spans="1:4" x14ac:dyDescent="0.25">
      <c r="A102" t="s">
        <v>4</v>
      </c>
      <c r="B102" t="s">
        <v>5</v>
      </c>
      <c r="C102" s="3">
        <v>45047</v>
      </c>
      <c r="D102">
        <v>553.76</v>
      </c>
    </row>
    <row r="103" spans="1:4" x14ac:dyDescent="0.25">
      <c r="A103" t="s">
        <v>4</v>
      </c>
      <c r="B103" t="s">
        <v>5</v>
      </c>
      <c r="C103" s="3">
        <v>45078</v>
      </c>
      <c r="D103">
        <v>567.11</v>
      </c>
    </row>
    <row r="104" spans="1:4" x14ac:dyDescent="0.25">
      <c r="A104" t="s">
        <v>4</v>
      </c>
      <c r="B104" t="s">
        <v>5</v>
      </c>
      <c r="C104" s="3">
        <v>45108</v>
      </c>
      <c r="D104">
        <v>547.22</v>
      </c>
    </row>
    <row r="105" spans="1:4" x14ac:dyDescent="0.25">
      <c r="A105" t="s">
        <v>4</v>
      </c>
      <c r="B105" t="s">
        <v>5</v>
      </c>
      <c r="C105" s="3">
        <v>45139</v>
      </c>
      <c r="D105">
        <v>542.66999999999996</v>
      </c>
    </row>
    <row r="106" spans="1:4" x14ac:dyDescent="0.25">
      <c r="A106" t="s">
        <v>4</v>
      </c>
      <c r="B106" t="s">
        <v>5</v>
      </c>
      <c r="C106" s="3">
        <v>45170</v>
      </c>
      <c r="D106">
        <v>532.34</v>
      </c>
    </row>
    <row r="107" spans="1:4" x14ac:dyDescent="0.25">
      <c r="A107" t="s">
        <v>4</v>
      </c>
      <c r="B107" t="s">
        <v>5</v>
      </c>
      <c r="C107" s="3">
        <v>45200</v>
      </c>
      <c r="D107">
        <v>521.96</v>
      </c>
    </row>
    <row r="108" spans="1:4" x14ac:dyDescent="0.25">
      <c r="A108" t="s">
        <v>4</v>
      </c>
      <c r="B108" t="s">
        <v>5</v>
      </c>
      <c r="C108" s="3">
        <v>45231</v>
      </c>
      <c r="D108">
        <v>516.76</v>
      </c>
    </row>
    <row r="109" spans="1:4" x14ac:dyDescent="0.25">
      <c r="A109" t="s">
        <v>4</v>
      </c>
      <c r="B109" t="s">
        <v>5</v>
      </c>
      <c r="C109" s="3">
        <v>45261</v>
      </c>
      <c r="D109">
        <v>517.26</v>
      </c>
    </row>
    <row r="110" spans="1:4" x14ac:dyDescent="0.25">
      <c r="A110" t="s">
        <v>4</v>
      </c>
      <c r="B110" t="s">
        <v>5</v>
      </c>
      <c r="C110" s="3">
        <v>45292</v>
      </c>
      <c r="D110">
        <v>528.48</v>
      </c>
    </row>
    <row r="111" spans="1:4" x14ac:dyDescent="0.25">
      <c r="A111" t="s">
        <v>4</v>
      </c>
      <c r="B111" t="s">
        <v>5</v>
      </c>
      <c r="C111" s="3">
        <v>45323</v>
      </c>
      <c r="D111">
        <v>534.4</v>
      </c>
    </row>
    <row r="112" spans="1:4" x14ac:dyDescent="0.25">
      <c r="A112" t="s">
        <v>4</v>
      </c>
      <c r="B112" t="s">
        <v>5</v>
      </c>
      <c r="C112" s="3">
        <v>45352</v>
      </c>
      <c r="D112">
        <v>555.22</v>
      </c>
    </row>
    <row r="113" spans="1:4" x14ac:dyDescent="0.25">
      <c r="A113" t="s">
        <v>4</v>
      </c>
      <c r="B113" t="s">
        <v>5</v>
      </c>
      <c r="C113" s="3">
        <v>45383</v>
      </c>
      <c r="D113">
        <v>582.11</v>
      </c>
    </row>
    <row r="114" spans="1:4" x14ac:dyDescent="0.25">
      <c r="A114" t="s">
        <v>4</v>
      </c>
      <c r="B114" t="s">
        <v>5</v>
      </c>
      <c r="C114" s="3">
        <v>45413</v>
      </c>
      <c r="D114">
        <v>579.54999999999995</v>
      </c>
    </row>
    <row r="115" spans="1:4" x14ac:dyDescent="0.25">
      <c r="A115" t="s">
        <v>4</v>
      </c>
      <c r="B115" t="s">
        <v>5</v>
      </c>
      <c r="C115" s="3">
        <v>45444</v>
      </c>
      <c r="D115">
        <v>561.96</v>
      </c>
    </row>
    <row r="116" spans="1:4" x14ac:dyDescent="0.25">
      <c r="A116" t="s">
        <v>4</v>
      </c>
      <c r="B116" t="s">
        <v>5</v>
      </c>
      <c r="C116" s="3">
        <v>45474</v>
      </c>
      <c r="D116">
        <v>524.28</v>
      </c>
    </row>
    <row r="117" spans="1:4" x14ac:dyDescent="0.25">
      <c r="A117" t="s">
        <v>4</v>
      </c>
      <c r="B117" t="s">
        <v>5</v>
      </c>
      <c r="C117" s="3">
        <v>45505</v>
      </c>
      <c r="D117">
        <v>516.4</v>
      </c>
    </row>
    <row r="118" spans="1:4" x14ac:dyDescent="0.25">
      <c r="A118" t="s">
        <v>4</v>
      </c>
      <c r="B118" t="s">
        <v>5</v>
      </c>
      <c r="C118" s="3">
        <v>45536</v>
      </c>
      <c r="D118">
        <v>506.19</v>
      </c>
    </row>
    <row r="119" spans="1:4" x14ac:dyDescent="0.25">
      <c r="A119" t="s">
        <v>4</v>
      </c>
      <c r="B119" t="s">
        <v>5</v>
      </c>
      <c r="C119" s="3">
        <v>45566</v>
      </c>
      <c r="D119">
        <v>519.30999999999995</v>
      </c>
    </row>
    <row r="120" spans="1:4" x14ac:dyDescent="0.25">
      <c r="A120" t="s">
        <v>4</v>
      </c>
      <c r="B120" t="s">
        <v>5</v>
      </c>
      <c r="C120" s="3">
        <v>45597</v>
      </c>
      <c r="D120">
        <v>533.26</v>
      </c>
    </row>
    <row r="121" spans="1:4" x14ac:dyDescent="0.25">
      <c r="A121" t="s">
        <v>4</v>
      </c>
      <c r="B121" t="s">
        <v>5</v>
      </c>
      <c r="C121" s="3">
        <v>45627</v>
      </c>
      <c r="D121">
        <v>554.08000000000004</v>
      </c>
    </row>
    <row r="122" spans="1:4" x14ac:dyDescent="0.25">
      <c r="A122" t="s">
        <v>4</v>
      </c>
      <c r="B122" t="s">
        <v>5</v>
      </c>
      <c r="C122" s="3">
        <v>45658</v>
      </c>
      <c r="D122">
        <v>571.42999999999995</v>
      </c>
    </row>
    <row r="123" spans="1:4" x14ac:dyDescent="0.25">
      <c r="A123" t="s">
        <v>4</v>
      </c>
      <c r="B123" t="s">
        <v>5</v>
      </c>
      <c r="C123" s="3">
        <v>45689</v>
      </c>
      <c r="D123">
        <v>580.45000000000005</v>
      </c>
    </row>
    <row r="124" spans="1:4" x14ac:dyDescent="0.25">
      <c r="A124" t="s">
        <v>4</v>
      </c>
      <c r="B124" t="s">
        <v>5</v>
      </c>
      <c r="C124" s="3">
        <v>45717</v>
      </c>
      <c r="D124">
        <v>569.48</v>
      </c>
    </row>
    <row r="125" spans="1:4" x14ac:dyDescent="0.25">
      <c r="A125" t="s">
        <v>4</v>
      </c>
      <c r="B125" t="s">
        <v>5</v>
      </c>
      <c r="C125" s="3">
        <v>45748</v>
      </c>
      <c r="D125">
        <v>579.92999999999995</v>
      </c>
    </row>
    <row r="126" spans="1:4" x14ac:dyDescent="0.25">
      <c r="A126" t="s">
        <v>4</v>
      </c>
      <c r="B126" t="s">
        <v>5</v>
      </c>
      <c r="C126" s="3">
        <v>45778</v>
      </c>
      <c r="D126">
        <v>579.54</v>
      </c>
    </row>
    <row r="127" spans="1:4" x14ac:dyDescent="0.25">
      <c r="A127" t="s">
        <v>4</v>
      </c>
      <c r="B127" t="s">
        <v>5</v>
      </c>
      <c r="C127" s="3">
        <v>45809</v>
      </c>
      <c r="D127">
        <v>557.28</v>
      </c>
    </row>
    <row r="128" spans="1:4" x14ac:dyDescent="0.25">
      <c r="A128" t="s">
        <v>7</v>
      </c>
      <c r="B128" t="s">
        <v>5</v>
      </c>
      <c r="C128" s="3">
        <v>42005</v>
      </c>
      <c r="D128">
        <v>310.77999999999997</v>
      </c>
    </row>
    <row r="129" spans="1:4" x14ac:dyDescent="0.25">
      <c r="A129" t="s">
        <v>7</v>
      </c>
      <c r="B129" t="s">
        <v>5</v>
      </c>
      <c r="C129" s="3">
        <v>42036</v>
      </c>
      <c r="D129">
        <v>314.89</v>
      </c>
    </row>
    <row r="130" spans="1:4" x14ac:dyDescent="0.25">
      <c r="A130" t="s">
        <v>7</v>
      </c>
      <c r="B130" t="s">
        <v>5</v>
      </c>
      <c r="C130" s="3">
        <v>42064</v>
      </c>
      <c r="D130">
        <v>320.02</v>
      </c>
    </row>
    <row r="131" spans="1:4" x14ac:dyDescent="0.25">
      <c r="A131" t="s">
        <v>7</v>
      </c>
      <c r="B131" t="s">
        <v>5</v>
      </c>
      <c r="C131" s="3">
        <v>42095</v>
      </c>
      <c r="D131">
        <v>322.81</v>
      </c>
    </row>
    <row r="132" spans="1:4" x14ac:dyDescent="0.25">
      <c r="A132" t="s">
        <v>7</v>
      </c>
      <c r="B132" t="s">
        <v>5</v>
      </c>
      <c r="C132" s="3">
        <v>42125</v>
      </c>
      <c r="D132">
        <v>338.92</v>
      </c>
    </row>
    <row r="133" spans="1:4" x14ac:dyDescent="0.25">
      <c r="A133" t="s">
        <v>7</v>
      </c>
      <c r="B133" t="s">
        <v>5</v>
      </c>
      <c r="C133" s="3">
        <v>42156</v>
      </c>
      <c r="D133">
        <v>356.24</v>
      </c>
    </row>
    <row r="134" spans="1:4" x14ac:dyDescent="0.25">
      <c r="A134" t="s">
        <v>7</v>
      </c>
      <c r="B134" t="s">
        <v>5</v>
      </c>
      <c r="C134" s="3">
        <v>42186</v>
      </c>
      <c r="D134">
        <v>339.27</v>
      </c>
    </row>
    <row r="135" spans="1:4" x14ac:dyDescent="0.25">
      <c r="A135" t="s">
        <v>7</v>
      </c>
      <c r="B135" t="s">
        <v>5</v>
      </c>
      <c r="C135" s="3">
        <v>42217</v>
      </c>
      <c r="D135">
        <v>334.45</v>
      </c>
    </row>
    <row r="136" spans="1:4" x14ac:dyDescent="0.25">
      <c r="A136" t="s">
        <v>7</v>
      </c>
      <c r="B136" t="s">
        <v>5</v>
      </c>
      <c r="C136" s="3">
        <v>42248</v>
      </c>
      <c r="D136">
        <v>319.2</v>
      </c>
    </row>
    <row r="137" spans="1:4" x14ac:dyDescent="0.25">
      <c r="A137" t="s">
        <v>7</v>
      </c>
      <c r="B137" t="s">
        <v>5</v>
      </c>
      <c r="C137" s="3">
        <v>42278</v>
      </c>
      <c r="D137">
        <v>321.72000000000003</v>
      </c>
    </row>
    <row r="138" spans="1:4" x14ac:dyDescent="0.25">
      <c r="A138" t="s">
        <v>7</v>
      </c>
      <c r="B138" t="s">
        <v>5</v>
      </c>
      <c r="C138" s="3">
        <v>42309</v>
      </c>
      <c r="D138">
        <v>325.69</v>
      </c>
    </row>
    <row r="139" spans="1:4" x14ac:dyDescent="0.25">
      <c r="A139" t="s">
        <v>7</v>
      </c>
      <c r="B139" t="s">
        <v>5</v>
      </c>
      <c r="C139" s="3">
        <v>42339</v>
      </c>
      <c r="D139">
        <v>351.38</v>
      </c>
    </row>
    <row r="140" spans="1:4" x14ac:dyDescent="0.25">
      <c r="A140" t="s">
        <v>7</v>
      </c>
      <c r="B140" t="s">
        <v>5</v>
      </c>
      <c r="C140" s="3">
        <v>42370</v>
      </c>
      <c r="D140">
        <v>374.5</v>
      </c>
    </row>
    <row r="141" spans="1:4" x14ac:dyDescent="0.25">
      <c r="A141" t="s">
        <v>7</v>
      </c>
      <c r="B141" t="s">
        <v>5</v>
      </c>
      <c r="C141" s="3">
        <v>42401</v>
      </c>
      <c r="D141">
        <v>406.86</v>
      </c>
    </row>
    <row r="142" spans="1:4" x14ac:dyDescent="0.25">
      <c r="A142" t="s">
        <v>7</v>
      </c>
      <c r="B142" t="s">
        <v>5</v>
      </c>
      <c r="C142" s="3">
        <v>42430</v>
      </c>
      <c r="D142">
        <v>413.87</v>
      </c>
    </row>
    <row r="143" spans="1:4" x14ac:dyDescent="0.25">
      <c r="A143" t="s">
        <v>7</v>
      </c>
      <c r="B143" t="s">
        <v>5</v>
      </c>
      <c r="C143" s="3">
        <v>42461</v>
      </c>
      <c r="D143">
        <v>412.51</v>
      </c>
    </row>
    <row r="144" spans="1:4" x14ac:dyDescent="0.25">
      <c r="A144" t="s">
        <v>7</v>
      </c>
      <c r="B144" t="s">
        <v>5</v>
      </c>
      <c r="C144" s="3">
        <v>42491</v>
      </c>
      <c r="D144">
        <v>402.97</v>
      </c>
    </row>
    <row r="145" spans="1:4" x14ac:dyDescent="0.25">
      <c r="A145" t="s">
        <v>7</v>
      </c>
      <c r="B145" t="s">
        <v>5</v>
      </c>
      <c r="C145" s="3">
        <v>42522</v>
      </c>
      <c r="D145">
        <v>419.28</v>
      </c>
    </row>
    <row r="146" spans="1:4" x14ac:dyDescent="0.25">
      <c r="A146" t="s">
        <v>7</v>
      </c>
      <c r="B146" t="s">
        <v>5</v>
      </c>
      <c r="C146" s="3">
        <v>42552</v>
      </c>
      <c r="D146">
        <v>416.75</v>
      </c>
    </row>
    <row r="147" spans="1:4" x14ac:dyDescent="0.25">
      <c r="A147" t="s">
        <v>7</v>
      </c>
      <c r="B147" t="s">
        <v>5</v>
      </c>
      <c r="C147" s="3">
        <v>42583</v>
      </c>
      <c r="D147">
        <v>421.33</v>
      </c>
    </row>
    <row r="148" spans="1:4" x14ac:dyDescent="0.25">
      <c r="A148" t="s">
        <v>7</v>
      </c>
      <c r="B148" t="s">
        <v>5</v>
      </c>
      <c r="C148" s="3">
        <v>42614</v>
      </c>
      <c r="D148">
        <v>424.43</v>
      </c>
    </row>
    <row r="149" spans="1:4" x14ac:dyDescent="0.25">
      <c r="A149" t="s">
        <v>7</v>
      </c>
      <c r="B149" t="s">
        <v>5</v>
      </c>
      <c r="C149" s="3">
        <v>42644</v>
      </c>
      <c r="D149">
        <v>425.03</v>
      </c>
    </row>
    <row r="150" spans="1:4" x14ac:dyDescent="0.25">
      <c r="A150" t="s">
        <v>7</v>
      </c>
      <c r="B150" t="s">
        <v>5</v>
      </c>
      <c r="C150" s="3">
        <v>42675</v>
      </c>
      <c r="D150">
        <v>415.86</v>
      </c>
    </row>
    <row r="151" spans="1:4" x14ac:dyDescent="0.25">
      <c r="A151" t="s">
        <v>7</v>
      </c>
      <c r="B151" t="s">
        <v>5</v>
      </c>
      <c r="C151" s="3">
        <v>42705</v>
      </c>
      <c r="D151">
        <v>410.71</v>
      </c>
    </row>
    <row r="152" spans="1:4" x14ac:dyDescent="0.25">
      <c r="A152" t="s">
        <v>7</v>
      </c>
      <c r="B152" t="s">
        <v>5</v>
      </c>
      <c r="C152" s="3">
        <v>42736</v>
      </c>
      <c r="D152">
        <v>406.4</v>
      </c>
    </row>
    <row r="153" spans="1:4" x14ac:dyDescent="0.25">
      <c r="A153" t="s">
        <v>7</v>
      </c>
      <c r="B153" t="s">
        <v>5</v>
      </c>
      <c r="C153" s="3">
        <v>42767</v>
      </c>
      <c r="D153">
        <v>395.57</v>
      </c>
    </row>
    <row r="154" spans="1:4" x14ac:dyDescent="0.25">
      <c r="A154" t="s">
        <v>7</v>
      </c>
      <c r="B154" t="s">
        <v>5</v>
      </c>
      <c r="C154" s="3">
        <v>42795</v>
      </c>
      <c r="D154">
        <v>394.21</v>
      </c>
    </row>
    <row r="155" spans="1:4" x14ac:dyDescent="0.25">
      <c r="A155" t="s">
        <v>7</v>
      </c>
      <c r="B155" t="s">
        <v>5</v>
      </c>
      <c r="C155" s="3">
        <v>42826</v>
      </c>
      <c r="D155">
        <v>398.12</v>
      </c>
    </row>
    <row r="156" spans="1:4" x14ac:dyDescent="0.25">
      <c r="A156" t="s">
        <v>7</v>
      </c>
      <c r="B156" t="s">
        <v>5</v>
      </c>
      <c r="C156" s="3">
        <v>42856</v>
      </c>
      <c r="D156">
        <v>402.76</v>
      </c>
    </row>
    <row r="157" spans="1:4" x14ac:dyDescent="0.25">
      <c r="A157" t="s">
        <v>7</v>
      </c>
      <c r="B157" t="s">
        <v>5</v>
      </c>
      <c r="C157" s="3">
        <v>42887</v>
      </c>
      <c r="D157">
        <v>393.01</v>
      </c>
    </row>
    <row r="158" spans="1:4" x14ac:dyDescent="0.25">
      <c r="A158" t="s">
        <v>7</v>
      </c>
      <c r="B158" t="s">
        <v>5</v>
      </c>
      <c r="C158" s="3">
        <v>42917</v>
      </c>
      <c r="D158">
        <v>388.67</v>
      </c>
    </row>
    <row r="159" spans="1:4" x14ac:dyDescent="0.25">
      <c r="A159" t="s">
        <v>7</v>
      </c>
      <c r="B159" t="s">
        <v>5</v>
      </c>
      <c r="C159" s="3">
        <v>42948</v>
      </c>
      <c r="D159">
        <v>375.82</v>
      </c>
    </row>
    <row r="160" spans="1:4" x14ac:dyDescent="0.25">
      <c r="A160" t="s">
        <v>7</v>
      </c>
      <c r="B160" t="s">
        <v>5</v>
      </c>
      <c r="C160" s="3">
        <v>42979</v>
      </c>
      <c r="D160">
        <v>369.89</v>
      </c>
    </row>
    <row r="161" spans="1:4" x14ac:dyDescent="0.25">
      <c r="A161" t="s">
        <v>7</v>
      </c>
      <c r="B161" t="s">
        <v>5</v>
      </c>
      <c r="C161" s="3">
        <v>43009</v>
      </c>
      <c r="D161">
        <v>367.03</v>
      </c>
    </row>
    <row r="162" spans="1:4" x14ac:dyDescent="0.25">
      <c r="A162" t="s">
        <v>7</v>
      </c>
      <c r="B162" t="s">
        <v>5</v>
      </c>
      <c r="C162" s="3">
        <v>43040</v>
      </c>
      <c r="D162">
        <v>358.74</v>
      </c>
    </row>
    <row r="163" spans="1:4" x14ac:dyDescent="0.25">
      <c r="A163" t="s">
        <v>7</v>
      </c>
      <c r="B163" t="s">
        <v>5</v>
      </c>
      <c r="C163" s="3">
        <v>43070</v>
      </c>
      <c r="D163">
        <v>356.67</v>
      </c>
    </row>
    <row r="164" spans="1:4" x14ac:dyDescent="0.25">
      <c r="A164" t="s">
        <v>7</v>
      </c>
      <c r="B164" t="s">
        <v>5</v>
      </c>
      <c r="C164" s="3">
        <v>43101</v>
      </c>
      <c r="D164">
        <v>366.99</v>
      </c>
    </row>
    <row r="165" spans="1:4" x14ac:dyDescent="0.25">
      <c r="A165" t="s">
        <v>7</v>
      </c>
      <c r="B165" t="s">
        <v>5</v>
      </c>
      <c r="C165" s="3">
        <v>43132</v>
      </c>
      <c r="D165">
        <v>379.36</v>
      </c>
    </row>
    <row r="166" spans="1:4" x14ac:dyDescent="0.25">
      <c r="A166" t="s">
        <v>7</v>
      </c>
      <c r="B166" t="s">
        <v>5</v>
      </c>
      <c r="C166" s="3">
        <v>43160</v>
      </c>
      <c r="D166">
        <v>367.06</v>
      </c>
    </row>
    <row r="167" spans="1:4" x14ac:dyDescent="0.25">
      <c r="A167" t="s">
        <v>7</v>
      </c>
      <c r="B167" t="s">
        <v>5</v>
      </c>
      <c r="C167" s="3">
        <v>43191</v>
      </c>
      <c r="D167">
        <v>366.19</v>
      </c>
    </row>
    <row r="168" spans="1:4" x14ac:dyDescent="0.25">
      <c r="A168" t="s">
        <v>7</v>
      </c>
      <c r="B168" t="s">
        <v>5</v>
      </c>
      <c r="C168" s="3">
        <v>43221</v>
      </c>
      <c r="D168">
        <v>367.56</v>
      </c>
    </row>
    <row r="169" spans="1:4" x14ac:dyDescent="0.25">
      <c r="A169" t="s">
        <v>7</v>
      </c>
      <c r="B169" t="s">
        <v>5</v>
      </c>
      <c r="C169" s="3">
        <v>43252</v>
      </c>
      <c r="D169">
        <v>381.65</v>
      </c>
    </row>
    <row r="170" spans="1:4" x14ac:dyDescent="0.25">
      <c r="A170" t="s">
        <v>7</v>
      </c>
      <c r="B170" t="s">
        <v>5</v>
      </c>
      <c r="C170" s="3">
        <v>43282</v>
      </c>
      <c r="D170">
        <v>361.11</v>
      </c>
    </row>
    <row r="171" spans="1:4" x14ac:dyDescent="0.25">
      <c r="A171" t="s">
        <v>7</v>
      </c>
      <c r="B171" t="s">
        <v>5</v>
      </c>
      <c r="C171" s="3">
        <v>43313</v>
      </c>
      <c r="D171">
        <v>360.3</v>
      </c>
    </row>
    <row r="172" spans="1:4" x14ac:dyDescent="0.25">
      <c r="A172" t="s">
        <v>7</v>
      </c>
      <c r="B172" t="s">
        <v>5</v>
      </c>
      <c r="C172" s="3">
        <v>43344</v>
      </c>
      <c r="D172">
        <v>359.51</v>
      </c>
    </row>
    <row r="173" spans="1:4" x14ac:dyDescent="0.25">
      <c r="A173" t="s">
        <v>7</v>
      </c>
      <c r="B173" t="s">
        <v>5</v>
      </c>
      <c r="C173" s="3">
        <v>43374</v>
      </c>
      <c r="D173">
        <v>361.7</v>
      </c>
    </row>
    <row r="174" spans="1:4" x14ac:dyDescent="0.25">
      <c r="A174" t="s">
        <v>7</v>
      </c>
      <c r="B174" t="s">
        <v>5</v>
      </c>
      <c r="C174" s="3">
        <v>43405</v>
      </c>
      <c r="D174">
        <v>372.24</v>
      </c>
    </row>
    <row r="175" spans="1:4" x14ac:dyDescent="0.25">
      <c r="A175" t="s">
        <v>7</v>
      </c>
      <c r="B175" t="s">
        <v>5</v>
      </c>
      <c r="C175" s="3">
        <v>43435</v>
      </c>
      <c r="D175">
        <v>382.31</v>
      </c>
    </row>
    <row r="176" spans="1:4" x14ac:dyDescent="0.25">
      <c r="A176" t="s">
        <v>7</v>
      </c>
      <c r="B176" t="s">
        <v>5</v>
      </c>
      <c r="C176" s="3">
        <v>43466</v>
      </c>
      <c r="D176">
        <v>384.78</v>
      </c>
    </row>
    <row r="177" spans="1:4" x14ac:dyDescent="0.25">
      <c r="A177" t="s">
        <v>7</v>
      </c>
      <c r="B177" t="s">
        <v>5</v>
      </c>
      <c r="C177" s="3">
        <v>43497</v>
      </c>
      <c r="D177">
        <v>383.76</v>
      </c>
    </row>
    <row r="178" spans="1:4" x14ac:dyDescent="0.25">
      <c r="A178" t="s">
        <v>7</v>
      </c>
      <c r="B178" t="s">
        <v>5</v>
      </c>
      <c r="C178" s="3">
        <v>43525</v>
      </c>
      <c r="D178">
        <v>408.67</v>
      </c>
    </row>
    <row r="179" spans="1:4" x14ac:dyDescent="0.25">
      <c r="A179" t="s">
        <v>7</v>
      </c>
      <c r="B179" t="s">
        <v>5</v>
      </c>
      <c r="C179" s="3">
        <v>43556</v>
      </c>
      <c r="D179">
        <v>423.17</v>
      </c>
    </row>
    <row r="180" spans="1:4" x14ac:dyDescent="0.25">
      <c r="A180" t="s">
        <v>7</v>
      </c>
      <c r="B180" t="s">
        <v>5</v>
      </c>
      <c r="C180" s="3">
        <v>43586</v>
      </c>
      <c r="D180">
        <v>418.05</v>
      </c>
    </row>
    <row r="181" spans="1:4" x14ac:dyDescent="0.25">
      <c r="A181" t="s">
        <v>7</v>
      </c>
      <c r="B181" t="s">
        <v>5</v>
      </c>
      <c r="C181" s="3">
        <v>43617</v>
      </c>
      <c r="D181">
        <v>407.67</v>
      </c>
    </row>
    <row r="182" spans="1:4" x14ac:dyDescent="0.25">
      <c r="A182" t="s">
        <v>7</v>
      </c>
      <c r="B182" t="s">
        <v>5</v>
      </c>
      <c r="C182" s="3">
        <v>43647</v>
      </c>
      <c r="D182">
        <v>403.35</v>
      </c>
    </row>
    <row r="183" spans="1:4" x14ac:dyDescent="0.25">
      <c r="A183" t="s">
        <v>7</v>
      </c>
      <c r="B183" t="s">
        <v>5</v>
      </c>
      <c r="C183" s="3">
        <v>43678</v>
      </c>
      <c r="D183">
        <v>393.94</v>
      </c>
    </row>
    <row r="184" spans="1:4" x14ac:dyDescent="0.25">
      <c r="A184" t="s">
        <v>7</v>
      </c>
      <c r="B184" t="s">
        <v>5</v>
      </c>
      <c r="C184" s="3">
        <v>43709</v>
      </c>
      <c r="D184">
        <v>382.11</v>
      </c>
    </row>
    <row r="185" spans="1:4" x14ac:dyDescent="0.25">
      <c r="A185" t="s">
        <v>7</v>
      </c>
      <c r="B185" t="s">
        <v>5</v>
      </c>
      <c r="C185" s="3">
        <v>43739</v>
      </c>
      <c r="D185">
        <v>377.37</v>
      </c>
    </row>
    <row r="186" spans="1:4" x14ac:dyDescent="0.25">
      <c r="A186" t="s">
        <v>7</v>
      </c>
      <c r="B186" t="s">
        <v>5</v>
      </c>
      <c r="C186" s="3">
        <v>43770</v>
      </c>
      <c r="D186">
        <v>381.28</v>
      </c>
    </row>
    <row r="187" spans="1:4" x14ac:dyDescent="0.25">
      <c r="A187" t="s">
        <v>7</v>
      </c>
      <c r="B187" t="s">
        <v>5</v>
      </c>
      <c r="C187" s="3">
        <v>43800</v>
      </c>
      <c r="D187">
        <v>414.13</v>
      </c>
    </row>
    <row r="188" spans="1:4" x14ac:dyDescent="0.25">
      <c r="A188" t="s">
        <v>7</v>
      </c>
      <c r="B188" t="s">
        <v>5</v>
      </c>
      <c r="C188" s="3">
        <v>43831</v>
      </c>
      <c r="D188">
        <v>415.56</v>
      </c>
    </row>
    <row r="189" spans="1:4" x14ac:dyDescent="0.25">
      <c r="A189" t="s">
        <v>7</v>
      </c>
      <c r="B189" t="s">
        <v>5</v>
      </c>
      <c r="C189" s="3">
        <v>43862</v>
      </c>
      <c r="D189">
        <v>432.95</v>
      </c>
    </row>
    <row r="190" spans="1:4" x14ac:dyDescent="0.25">
      <c r="A190" t="s">
        <v>7</v>
      </c>
      <c r="B190" t="s">
        <v>5</v>
      </c>
      <c r="C190" s="3">
        <v>43891</v>
      </c>
      <c r="D190">
        <v>418.8</v>
      </c>
    </row>
    <row r="191" spans="1:4" x14ac:dyDescent="0.25">
      <c r="A191" t="s">
        <v>7</v>
      </c>
      <c r="B191" t="s">
        <v>5</v>
      </c>
      <c r="C191" s="3">
        <v>43922</v>
      </c>
      <c r="D191">
        <v>434.19</v>
      </c>
    </row>
    <row r="192" spans="1:4" x14ac:dyDescent="0.25">
      <c r="A192" t="s">
        <v>7</v>
      </c>
      <c r="B192" t="s">
        <v>5</v>
      </c>
      <c r="C192" s="3">
        <v>43952</v>
      </c>
      <c r="D192">
        <v>453.36</v>
      </c>
    </row>
    <row r="193" spans="1:4" x14ac:dyDescent="0.25">
      <c r="A193" t="s">
        <v>7</v>
      </c>
      <c r="B193" t="s">
        <v>5</v>
      </c>
      <c r="C193" s="3">
        <v>43983</v>
      </c>
      <c r="D193">
        <v>453.87</v>
      </c>
    </row>
    <row r="194" spans="1:4" x14ac:dyDescent="0.25">
      <c r="A194" t="s">
        <v>7</v>
      </c>
      <c r="B194" t="s">
        <v>5</v>
      </c>
      <c r="C194" s="3">
        <v>44013</v>
      </c>
      <c r="D194">
        <v>440.99</v>
      </c>
    </row>
    <row r="195" spans="1:4" x14ac:dyDescent="0.25">
      <c r="A195" t="s">
        <v>7</v>
      </c>
      <c r="B195" t="s">
        <v>5</v>
      </c>
      <c r="C195" s="3">
        <v>44044</v>
      </c>
      <c r="D195">
        <v>441.51</v>
      </c>
    </row>
    <row r="196" spans="1:4" x14ac:dyDescent="0.25">
      <c r="A196" t="s">
        <v>7</v>
      </c>
      <c r="B196" t="s">
        <v>5</v>
      </c>
      <c r="C196" s="3">
        <v>44075</v>
      </c>
      <c r="D196">
        <v>459.21</v>
      </c>
    </row>
    <row r="197" spans="1:4" x14ac:dyDescent="0.25">
      <c r="A197" t="s">
        <v>7</v>
      </c>
      <c r="B197" t="s">
        <v>5</v>
      </c>
      <c r="C197" s="3">
        <v>44105</v>
      </c>
      <c r="D197">
        <v>468.22</v>
      </c>
    </row>
    <row r="198" spans="1:4" x14ac:dyDescent="0.25">
      <c r="A198" t="s">
        <v>7</v>
      </c>
      <c r="B198" t="s">
        <v>5</v>
      </c>
      <c r="C198" s="3">
        <v>44136</v>
      </c>
      <c r="D198">
        <v>486.5</v>
      </c>
    </row>
    <row r="199" spans="1:4" x14ac:dyDescent="0.25">
      <c r="A199" t="s">
        <v>7</v>
      </c>
      <c r="B199" t="s">
        <v>5</v>
      </c>
      <c r="C199" s="3">
        <v>44166</v>
      </c>
      <c r="D199">
        <v>500.89</v>
      </c>
    </row>
    <row r="200" spans="1:4" x14ac:dyDescent="0.25">
      <c r="A200" t="s">
        <v>7</v>
      </c>
      <c r="B200" t="s">
        <v>5</v>
      </c>
      <c r="C200" s="3">
        <v>44197</v>
      </c>
      <c r="D200">
        <v>507.31</v>
      </c>
    </row>
    <row r="201" spans="1:4" x14ac:dyDescent="0.25">
      <c r="A201" t="s">
        <v>7</v>
      </c>
      <c r="B201" t="s">
        <v>5</v>
      </c>
      <c r="C201" s="3">
        <v>44228</v>
      </c>
      <c r="D201">
        <v>512.95000000000005</v>
      </c>
    </row>
    <row r="202" spans="1:4" x14ac:dyDescent="0.25">
      <c r="A202" t="s">
        <v>7</v>
      </c>
      <c r="B202" t="s">
        <v>5</v>
      </c>
      <c r="C202" s="3">
        <v>44256</v>
      </c>
      <c r="D202">
        <v>515.77</v>
      </c>
    </row>
    <row r="203" spans="1:4" x14ac:dyDescent="0.25">
      <c r="A203" t="s">
        <v>7</v>
      </c>
      <c r="B203" t="s">
        <v>5</v>
      </c>
      <c r="C203" s="3">
        <v>44287</v>
      </c>
      <c r="D203">
        <v>505.87</v>
      </c>
    </row>
    <row r="204" spans="1:4" x14ac:dyDescent="0.25">
      <c r="A204" t="s">
        <v>7</v>
      </c>
      <c r="B204" t="s">
        <v>5</v>
      </c>
      <c r="C204" s="3">
        <v>44317</v>
      </c>
      <c r="D204">
        <v>515.84</v>
      </c>
    </row>
    <row r="205" spans="1:4" x14ac:dyDescent="0.25">
      <c r="A205" t="s">
        <v>7</v>
      </c>
      <c r="B205" t="s">
        <v>5</v>
      </c>
      <c r="C205" s="3">
        <v>44348</v>
      </c>
      <c r="D205">
        <v>518.53</v>
      </c>
    </row>
    <row r="206" spans="1:4" x14ac:dyDescent="0.25">
      <c r="A206" t="s">
        <v>7</v>
      </c>
      <c r="B206" t="s">
        <v>5</v>
      </c>
      <c r="C206" s="3">
        <v>44378</v>
      </c>
      <c r="D206">
        <v>522.66</v>
      </c>
    </row>
    <row r="207" spans="1:4" x14ac:dyDescent="0.25">
      <c r="A207" t="s">
        <v>7</v>
      </c>
      <c r="B207" t="s">
        <v>5</v>
      </c>
      <c r="C207" s="3">
        <v>44409</v>
      </c>
      <c r="D207">
        <v>530.13</v>
      </c>
    </row>
    <row r="208" spans="1:4" x14ac:dyDescent="0.25">
      <c r="A208" t="s">
        <v>7</v>
      </c>
      <c r="B208" t="s">
        <v>5</v>
      </c>
      <c r="C208" s="3">
        <v>44440</v>
      </c>
      <c r="D208">
        <v>532.55999999999995</v>
      </c>
    </row>
    <row r="209" spans="1:4" x14ac:dyDescent="0.25">
      <c r="A209" t="s">
        <v>7</v>
      </c>
      <c r="B209" t="s">
        <v>5</v>
      </c>
      <c r="C209" s="3">
        <v>44470</v>
      </c>
      <c r="D209">
        <v>538.44000000000005</v>
      </c>
    </row>
    <row r="210" spans="1:4" x14ac:dyDescent="0.25">
      <c r="A210" t="s">
        <v>7</v>
      </c>
      <c r="B210" t="s">
        <v>5</v>
      </c>
      <c r="C210" s="3">
        <v>44501</v>
      </c>
      <c r="D210">
        <v>550.64</v>
      </c>
    </row>
    <row r="211" spans="1:4" x14ac:dyDescent="0.25">
      <c r="A211" t="s">
        <v>7</v>
      </c>
      <c r="B211" t="s">
        <v>5</v>
      </c>
      <c r="C211" s="3">
        <v>44531</v>
      </c>
      <c r="D211">
        <v>556.87</v>
      </c>
    </row>
    <row r="212" spans="1:4" x14ac:dyDescent="0.25">
      <c r="A212" t="s">
        <v>7</v>
      </c>
      <c r="B212" t="s">
        <v>5</v>
      </c>
      <c r="C212" s="3">
        <v>44562</v>
      </c>
      <c r="D212">
        <v>563.97</v>
      </c>
    </row>
    <row r="213" spans="1:4" x14ac:dyDescent="0.25">
      <c r="A213" t="s">
        <v>7</v>
      </c>
      <c r="B213" t="s">
        <v>5</v>
      </c>
      <c r="C213" s="3">
        <v>44593</v>
      </c>
      <c r="D213">
        <v>574.86</v>
      </c>
    </row>
    <row r="214" spans="1:4" x14ac:dyDescent="0.25">
      <c r="A214" t="s">
        <v>7</v>
      </c>
      <c r="B214" t="s">
        <v>5</v>
      </c>
      <c r="C214" s="3">
        <v>44621</v>
      </c>
      <c r="D214">
        <v>585.91</v>
      </c>
    </row>
    <row r="215" spans="1:4" x14ac:dyDescent="0.25">
      <c r="A215" t="s">
        <v>7</v>
      </c>
      <c r="B215" t="s">
        <v>5</v>
      </c>
      <c r="C215" s="3">
        <v>44652</v>
      </c>
      <c r="D215">
        <v>610.30999999999995</v>
      </c>
    </row>
    <row r="216" spans="1:4" x14ac:dyDescent="0.25">
      <c r="A216" t="s">
        <v>7</v>
      </c>
      <c r="B216" t="s">
        <v>5</v>
      </c>
      <c r="C216" s="3">
        <v>44682</v>
      </c>
      <c r="D216">
        <v>628.58000000000004</v>
      </c>
    </row>
    <row r="217" spans="1:4" x14ac:dyDescent="0.25">
      <c r="A217" t="s">
        <v>7</v>
      </c>
      <c r="B217" t="s">
        <v>5</v>
      </c>
      <c r="C217" s="3">
        <v>44713</v>
      </c>
      <c r="D217">
        <v>632.26</v>
      </c>
    </row>
    <row r="218" spans="1:4" x14ac:dyDescent="0.25">
      <c r="A218" t="s">
        <v>7</v>
      </c>
      <c r="B218" t="s">
        <v>5</v>
      </c>
      <c r="C218" s="3">
        <v>44743</v>
      </c>
      <c r="D218">
        <v>633.14</v>
      </c>
    </row>
    <row r="219" spans="1:4" x14ac:dyDescent="0.25">
      <c r="A219" t="s">
        <v>7</v>
      </c>
      <c r="B219" t="s">
        <v>5</v>
      </c>
      <c r="C219" s="3">
        <v>44774</v>
      </c>
      <c r="D219">
        <v>634.85</v>
      </c>
    </row>
    <row r="220" spans="1:4" x14ac:dyDescent="0.25">
      <c r="A220" t="s">
        <v>7</v>
      </c>
      <c r="B220" t="s">
        <v>5</v>
      </c>
      <c r="C220" s="3">
        <v>44805</v>
      </c>
      <c r="D220">
        <v>622.46</v>
      </c>
    </row>
    <row r="221" spans="1:4" x14ac:dyDescent="0.25">
      <c r="A221" t="s">
        <v>7</v>
      </c>
      <c r="B221" t="s">
        <v>5</v>
      </c>
      <c r="C221" s="3">
        <v>44835</v>
      </c>
      <c r="D221">
        <v>615.22</v>
      </c>
    </row>
    <row r="222" spans="1:4" x14ac:dyDescent="0.25">
      <c r="A222" t="s">
        <v>7</v>
      </c>
      <c r="B222" t="s">
        <v>5</v>
      </c>
      <c r="C222" s="3">
        <v>44866</v>
      </c>
      <c r="D222">
        <v>624.29</v>
      </c>
    </row>
    <row r="223" spans="1:4" x14ac:dyDescent="0.25">
      <c r="A223" t="s">
        <v>7</v>
      </c>
      <c r="B223" t="s">
        <v>5</v>
      </c>
      <c r="C223" s="3">
        <v>44896</v>
      </c>
      <c r="D223">
        <v>639.44000000000005</v>
      </c>
    </row>
    <row r="224" spans="1:4" x14ac:dyDescent="0.25">
      <c r="A224" t="s">
        <v>7</v>
      </c>
      <c r="B224" t="s">
        <v>5</v>
      </c>
      <c r="C224" s="3">
        <v>44927</v>
      </c>
      <c r="D224">
        <v>654.80999999999995</v>
      </c>
    </row>
    <row r="225" spans="1:4" x14ac:dyDescent="0.25">
      <c r="A225" t="s">
        <v>7</v>
      </c>
      <c r="B225" t="s">
        <v>5</v>
      </c>
      <c r="C225" s="3">
        <v>44958</v>
      </c>
      <c r="D225">
        <v>662.98</v>
      </c>
    </row>
    <row r="226" spans="1:4" x14ac:dyDescent="0.25">
      <c r="A226" t="s">
        <v>7</v>
      </c>
      <c r="B226" t="s">
        <v>5</v>
      </c>
      <c r="C226" s="3">
        <v>44986</v>
      </c>
      <c r="D226">
        <v>664.54</v>
      </c>
    </row>
    <row r="227" spans="1:4" x14ac:dyDescent="0.25">
      <c r="A227" t="s">
        <v>7</v>
      </c>
      <c r="B227" t="s">
        <v>5</v>
      </c>
      <c r="C227" s="3">
        <v>45017</v>
      </c>
      <c r="D227">
        <v>660.77</v>
      </c>
    </row>
    <row r="228" spans="1:4" x14ac:dyDescent="0.25">
      <c r="A228" t="s">
        <v>7</v>
      </c>
      <c r="B228" t="s">
        <v>5</v>
      </c>
      <c r="C228" s="3">
        <v>45047</v>
      </c>
      <c r="D228">
        <v>669.8</v>
      </c>
    </row>
    <row r="229" spans="1:4" x14ac:dyDescent="0.25">
      <c r="A229" t="s">
        <v>7</v>
      </c>
      <c r="B229" t="s">
        <v>5</v>
      </c>
      <c r="C229" s="3">
        <v>45078</v>
      </c>
      <c r="D229">
        <v>659.89</v>
      </c>
    </row>
    <row r="230" spans="1:4" x14ac:dyDescent="0.25">
      <c r="A230" t="s">
        <v>7</v>
      </c>
      <c r="B230" t="s">
        <v>5</v>
      </c>
      <c r="C230" s="3">
        <v>45108</v>
      </c>
      <c r="D230">
        <v>650.41999999999996</v>
      </c>
    </row>
    <row r="231" spans="1:4" x14ac:dyDescent="0.25">
      <c r="A231" t="s">
        <v>7</v>
      </c>
      <c r="B231" t="s">
        <v>5</v>
      </c>
      <c r="C231" s="3">
        <v>45139</v>
      </c>
      <c r="D231">
        <v>640.11</v>
      </c>
    </row>
    <row r="232" spans="1:4" x14ac:dyDescent="0.25">
      <c r="A232" t="s">
        <v>7</v>
      </c>
      <c r="B232" t="s">
        <v>5</v>
      </c>
      <c r="C232" s="3">
        <v>45170</v>
      </c>
      <c r="D232">
        <v>633.53</v>
      </c>
    </row>
    <row r="233" spans="1:4" x14ac:dyDescent="0.25">
      <c r="A233" t="s">
        <v>7</v>
      </c>
      <c r="B233" t="s">
        <v>5</v>
      </c>
      <c r="C233" s="3">
        <v>45200</v>
      </c>
      <c r="D233">
        <v>632.91999999999996</v>
      </c>
    </row>
    <row r="234" spans="1:4" x14ac:dyDescent="0.25">
      <c r="A234" t="s">
        <v>7</v>
      </c>
      <c r="B234" t="s">
        <v>5</v>
      </c>
      <c r="C234" s="3">
        <v>45231</v>
      </c>
      <c r="D234">
        <v>635.17999999999995</v>
      </c>
    </row>
    <row r="235" spans="1:4" x14ac:dyDescent="0.25">
      <c r="A235" t="s">
        <v>7</v>
      </c>
      <c r="B235" t="s">
        <v>5</v>
      </c>
      <c r="C235" s="3">
        <v>45261</v>
      </c>
      <c r="D235">
        <v>645.44000000000005</v>
      </c>
    </row>
    <row r="236" spans="1:4" x14ac:dyDescent="0.25">
      <c r="A236" t="s">
        <v>7</v>
      </c>
      <c r="B236" t="s">
        <v>5</v>
      </c>
      <c r="C236" s="3">
        <v>45292</v>
      </c>
      <c r="D236">
        <v>656.78</v>
      </c>
    </row>
    <row r="237" spans="1:4" x14ac:dyDescent="0.25">
      <c r="A237" t="s">
        <v>7</v>
      </c>
      <c r="B237" t="s">
        <v>5</v>
      </c>
      <c r="C237" s="3">
        <v>45323</v>
      </c>
      <c r="D237">
        <v>665.12</v>
      </c>
    </row>
    <row r="238" spans="1:4" x14ac:dyDescent="0.25">
      <c r="A238" t="s">
        <v>7</v>
      </c>
      <c r="B238" t="s">
        <v>5</v>
      </c>
      <c r="C238" s="3">
        <v>45352</v>
      </c>
      <c r="D238">
        <v>667.53</v>
      </c>
    </row>
    <row r="239" spans="1:4" x14ac:dyDescent="0.25">
      <c r="A239" t="s">
        <v>7</v>
      </c>
      <c r="B239" t="s">
        <v>5</v>
      </c>
      <c r="C239" s="3">
        <v>45383</v>
      </c>
      <c r="D239">
        <v>681.45</v>
      </c>
    </row>
    <row r="240" spans="1:4" x14ac:dyDescent="0.25">
      <c r="A240" t="s">
        <v>7</v>
      </c>
      <c r="B240" t="s">
        <v>5</v>
      </c>
      <c r="C240" s="3">
        <v>45413</v>
      </c>
      <c r="D240">
        <v>690.98</v>
      </c>
    </row>
    <row r="241" spans="1:4" x14ac:dyDescent="0.25">
      <c r="A241" t="s">
        <v>7</v>
      </c>
      <c r="B241" t="s">
        <v>5</v>
      </c>
      <c r="C241" s="3">
        <v>45444</v>
      </c>
      <c r="D241">
        <v>695.58</v>
      </c>
    </row>
    <row r="242" spans="1:4" x14ac:dyDescent="0.25">
      <c r="A242" t="s">
        <v>7</v>
      </c>
      <c r="B242" t="s">
        <v>5</v>
      </c>
      <c r="C242" s="3">
        <v>45474</v>
      </c>
      <c r="D242">
        <v>682.39</v>
      </c>
    </row>
    <row r="243" spans="1:4" x14ac:dyDescent="0.25">
      <c r="A243" t="s">
        <v>7</v>
      </c>
      <c r="B243" t="s">
        <v>5</v>
      </c>
      <c r="C243" s="3">
        <v>45505</v>
      </c>
      <c r="D243">
        <v>664.92</v>
      </c>
    </row>
    <row r="244" spans="1:4" x14ac:dyDescent="0.25">
      <c r="A244" t="s">
        <v>7</v>
      </c>
      <c r="B244" t="s">
        <v>5</v>
      </c>
      <c r="C244" s="3">
        <v>45536</v>
      </c>
      <c r="D244">
        <v>647.79</v>
      </c>
    </row>
    <row r="245" spans="1:4" x14ac:dyDescent="0.25">
      <c r="A245" t="s">
        <v>7</v>
      </c>
      <c r="B245" t="s">
        <v>5</v>
      </c>
      <c r="C245" s="3">
        <v>45566</v>
      </c>
      <c r="D245">
        <v>649.9</v>
      </c>
    </row>
    <row r="246" spans="1:4" x14ac:dyDescent="0.25">
      <c r="A246" t="s">
        <v>7</v>
      </c>
      <c r="B246" t="s">
        <v>5</v>
      </c>
      <c r="C246" s="3">
        <v>45597</v>
      </c>
      <c r="D246">
        <v>663.02</v>
      </c>
    </row>
    <row r="247" spans="1:4" x14ac:dyDescent="0.25">
      <c r="A247" t="s">
        <v>7</v>
      </c>
      <c r="B247" t="s">
        <v>5</v>
      </c>
      <c r="C247" s="3">
        <v>45627</v>
      </c>
      <c r="D247">
        <v>665.83</v>
      </c>
    </row>
    <row r="248" spans="1:4" x14ac:dyDescent="0.25">
      <c r="A248" t="s">
        <v>7</v>
      </c>
      <c r="B248" t="s">
        <v>5</v>
      </c>
      <c r="C248" s="3">
        <v>45658</v>
      </c>
      <c r="D248">
        <v>697.81</v>
      </c>
    </row>
    <row r="249" spans="1:4" x14ac:dyDescent="0.25">
      <c r="A249" t="s">
        <v>7</v>
      </c>
      <c r="B249" t="s">
        <v>5</v>
      </c>
      <c r="C249" s="3">
        <v>45689</v>
      </c>
      <c r="D249">
        <v>700.06</v>
      </c>
    </row>
    <row r="250" spans="1:4" x14ac:dyDescent="0.25">
      <c r="A250" t="s">
        <v>7</v>
      </c>
      <c r="B250" t="s">
        <v>5</v>
      </c>
      <c r="C250" s="3">
        <v>45717</v>
      </c>
      <c r="D250">
        <v>704.9</v>
      </c>
    </row>
    <row r="251" spans="1:4" x14ac:dyDescent="0.25">
      <c r="A251" t="s">
        <v>7</v>
      </c>
      <c r="B251" t="s">
        <v>5</v>
      </c>
      <c r="C251" s="3">
        <v>45748</v>
      </c>
      <c r="D251">
        <v>726.21</v>
      </c>
    </row>
    <row r="252" spans="1:4" x14ac:dyDescent="0.25">
      <c r="A252" t="s">
        <v>7</v>
      </c>
      <c r="B252" t="s">
        <v>5</v>
      </c>
      <c r="C252" s="3">
        <v>45778</v>
      </c>
      <c r="D252">
        <v>726.38</v>
      </c>
    </row>
    <row r="253" spans="1:4" x14ac:dyDescent="0.25">
      <c r="A253" t="s">
        <v>7</v>
      </c>
      <c r="B253" t="s">
        <v>5</v>
      </c>
      <c r="C253" s="3">
        <v>45809</v>
      </c>
      <c r="D253">
        <v>709.04</v>
      </c>
    </row>
    <row r="254" spans="1:4" x14ac:dyDescent="0.25">
      <c r="A254" t="s">
        <v>8</v>
      </c>
      <c r="B254" t="s">
        <v>5</v>
      </c>
      <c r="C254" s="3">
        <v>42005</v>
      </c>
      <c r="D254">
        <v>337.57</v>
      </c>
    </row>
    <row r="255" spans="1:4" x14ac:dyDescent="0.25">
      <c r="A255" t="s">
        <v>8</v>
      </c>
      <c r="B255" t="s">
        <v>5</v>
      </c>
      <c r="C255" s="3">
        <v>42036</v>
      </c>
      <c r="D255">
        <v>341.72</v>
      </c>
    </row>
    <row r="256" spans="1:4" x14ac:dyDescent="0.25">
      <c r="A256" t="s">
        <v>8</v>
      </c>
      <c r="B256" t="s">
        <v>5</v>
      </c>
      <c r="C256" s="3">
        <v>42064</v>
      </c>
      <c r="D256">
        <v>343.22</v>
      </c>
    </row>
    <row r="257" spans="1:4" x14ac:dyDescent="0.25">
      <c r="A257" t="s">
        <v>8</v>
      </c>
      <c r="B257" t="s">
        <v>5</v>
      </c>
      <c r="C257" s="3">
        <v>42095</v>
      </c>
      <c r="D257">
        <v>348.36</v>
      </c>
    </row>
    <row r="258" spans="1:4" x14ac:dyDescent="0.25">
      <c r="A258" t="s">
        <v>8</v>
      </c>
      <c r="B258" t="s">
        <v>5</v>
      </c>
      <c r="C258" s="3">
        <v>42125</v>
      </c>
      <c r="D258">
        <v>355.92</v>
      </c>
    </row>
    <row r="259" spans="1:4" x14ac:dyDescent="0.25">
      <c r="A259" t="s">
        <v>8</v>
      </c>
      <c r="B259" t="s">
        <v>5</v>
      </c>
      <c r="C259" s="3">
        <v>42156</v>
      </c>
      <c r="D259">
        <v>338.76</v>
      </c>
    </row>
    <row r="260" spans="1:4" x14ac:dyDescent="0.25">
      <c r="A260" t="s">
        <v>8</v>
      </c>
      <c r="B260" t="s">
        <v>5</v>
      </c>
      <c r="C260" s="3">
        <v>42186</v>
      </c>
      <c r="D260">
        <v>345.02</v>
      </c>
    </row>
    <row r="261" spans="1:4" x14ac:dyDescent="0.25">
      <c r="A261" t="s">
        <v>8</v>
      </c>
      <c r="B261" t="s">
        <v>5</v>
      </c>
      <c r="C261" s="3">
        <v>42217</v>
      </c>
      <c r="D261">
        <v>337.42</v>
      </c>
    </row>
    <row r="262" spans="1:4" x14ac:dyDescent="0.25">
      <c r="A262" t="s">
        <v>8</v>
      </c>
      <c r="B262" t="s">
        <v>5</v>
      </c>
      <c r="C262" s="3">
        <v>42248</v>
      </c>
      <c r="D262">
        <v>338.19</v>
      </c>
    </row>
    <row r="263" spans="1:4" x14ac:dyDescent="0.25">
      <c r="A263" t="s">
        <v>8</v>
      </c>
      <c r="B263" t="s">
        <v>5</v>
      </c>
      <c r="C263" s="3">
        <v>42278</v>
      </c>
      <c r="D263">
        <v>338.61</v>
      </c>
    </row>
    <row r="264" spans="1:4" x14ac:dyDescent="0.25">
      <c r="A264" t="s">
        <v>8</v>
      </c>
      <c r="B264" t="s">
        <v>5</v>
      </c>
      <c r="C264" s="3">
        <v>42309</v>
      </c>
      <c r="D264">
        <v>362.19</v>
      </c>
    </row>
    <row r="265" spans="1:4" x14ac:dyDescent="0.25">
      <c r="A265" t="s">
        <v>8</v>
      </c>
      <c r="B265" t="s">
        <v>5</v>
      </c>
      <c r="C265" s="3">
        <v>42339</v>
      </c>
      <c r="D265">
        <v>376.91</v>
      </c>
    </row>
    <row r="266" spans="1:4" x14ac:dyDescent="0.25">
      <c r="A266" t="s">
        <v>8</v>
      </c>
      <c r="B266" t="s">
        <v>5</v>
      </c>
      <c r="C266" s="3">
        <v>42370</v>
      </c>
      <c r="D266">
        <v>417.72</v>
      </c>
    </row>
    <row r="267" spans="1:4" x14ac:dyDescent="0.25">
      <c r="A267" t="s">
        <v>8</v>
      </c>
      <c r="B267" t="s">
        <v>5</v>
      </c>
      <c r="C267" s="3">
        <v>42401</v>
      </c>
      <c r="D267">
        <v>400.29</v>
      </c>
    </row>
    <row r="268" spans="1:4" x14ac:dyDescent="0.25">
      <c r="A268" t="s">
        <v>8</v>
      </c>
      <c r="B268" t="s">
        <v>5</v>
      </c>
      <c r="C268" s="3">
        <v>42430</v>
      </c>
      <c r="D268">
        <v>408.84</v>
      </c>
    </row>
    <row r="269" spans="1:4" x14ac:dyDescent="0.25">
      <c r="A269" t="s">
        <v>8</v>
      </c>
      <c r="B269" t="s">
        <v>5</v>
      </c>
      <c r="C269" s="3">
        <v>42461</v>
      </c>
      <c r="D269">
        <v>399.24</v>
      </c>
    </row>
    <row r="270" spans="1:4" x14ac:dyDescent="0.25">
      <c r="A270" t="s">
        <v>8</v>
      </c>
      <c r="B270" t="s">
        <v>5</v>
      </c>
      <c r="C270" s="3">
        <v>42491</v>
      </c>
      <c r="D270">
        <v>408.5</v>
      </c>
    </row>
    <row r="271" spans="1:4" x14ac:dyDescent="0.25">
      <c r="A271" t="s">
        <v>8</v>
      </c>
      <c r="B271" t="s">
        <v>5</v>
      </c>
      <c r="C271" s="3">
        <v>42522</v>
      </c>
      <c r="D271">
        <v>425.82</v>
      </c>
    </row>
    <row r="272" spans="1:4" x14ac:dyDescent="0.25">
      <c r="A272" t="s">
        <v>8</v>
      </c>
      <c r="B272" t="s">
        <v>5</v>
      </c>
      <c r="C272" s="3">
        <v>42552</v>
      </c>
      <c r="D272">
        <v>423.1</v>
      </c>
    </row>
    <row r="273" spans="1:4" x14ac:dyDescent="0.25">
      <c r="A273" t="s">
        <v>8</v>
      </c>
      <c r="B273" t="s">
        <v>5</v>
      </c>
      <c r="C273" s="3">
        <v>42583</v>
      </c>
      <c r="D273">
        <v>429.64</v>
      </c>
    </row>
    <row r="274" spans="1:4" x14ac:dyDescent="0.25">
      <c r="A274" t="s">
        <v>8</v>
      </c>
      <c r="B274" t="s">
        <v>5</v>
      </c>
      <c r="C274" s="3">
        <v>42614</v>
      </c>
      <c r="D274">
        <v>421.55</v>
      </c>
    </row>
    <row r="275" spans="1:4" x14ac:dyDescent="0.25">
      <c r="A275" t="s">
        <v>8</v>
      </c>
      <c r="B275" t="s">
        <v>5</v>
      </c>
      <c r="C275" s="3">
        <v>42644</v>
      </c>
      <c r="D275">
        <v>418.47</v>
      </c>
    </row>
    <row r="276" spans="1:4" x14ac:dyDescent="0.25">
      <c r="A276" t="s">
        <v>8</v>
      </c>
      <c r="B276" t="s">
        <v>5</v>
      </c>
      <c r="C276" s="3">
        <v>42675</v>
      </c>
      <c r="D276">
        <v>400.9</v>
      </c>
    </row>
    <row r="277" spans="1:4" x14ac:dyDescent="0.25">
      <c r="A277" t="s">
        <v>8</v>
      </c>
      <c r="B277" t="s">
        <v>5</v>
      </c>
      <c r="C277" s="3">
        <v>42705</v>
      </c>
      <c r="D277">
        <v>394.66</v>
      </c>
    </row>
    <row r="278" spans="1:4" x14ac:dyDescent="0.25">
      <c r="A278" t="s">
        <v>8</v>
      </c>
      <c r="B278" t="s">
        <v>5</v>
      </c>
      <c r="C278" s="3">
        <v>42736</v>
      </c>
      <c r="D278">
        <v>389.69</v>
      </c>
    </row>
    <row r="279" spans="1:4" x14ac:dyDescent="0.25">
      <c r="A279" t="s">
        <v>8</v>
      </c>
      <c r="B279" t="s">
        <v>5</v>
      </c>
      <c r="C279" s="3">
        <v>42767</v>
      </c>
      <c r="D279">
        <v>377.66</v>
      </c>
    </row>
    <row r="280" spans="1:4" x14ac:dyDescent="0.25">
      <c r="A280" t="s">
        <v>8</v>
      </c>
      <c r="B280" t="s">
        <v>5</v>
      </c>
      <c r="C280" s="3">
        <v>42795</v>
      </c>
      <c r="D280">
        <v>385.57</v>
      </c>
    </row>
    <row r="281" spans="1:4" x14ac:dyDescent="0.25">
      <c r="A281" t="s">
        <v>8</v>
      </c>
      <c r="B281" t="s">
        <v>5</v>
      </c>
      <c r="C281" s="3">
        <v>42826</v>
      </c>
      <c r="D281">
        <v>397.36</v>
      </c>
    </row>
    <row r="282" spans="1:4" x14ac:dyDescent="0.25">
      <c r="A282" t="s">
        <v>8</v>
      </c>
      <c r="B282" t="s">
        <v>5</v>
      </c>
      <c r="C282" s="3">
        <v>42856</v>
      </c>
      <c r="D282">
        <v>390.6</v>
      </c>
    </row>
    <row r="283" spans="1:4" x14ac:dyDescent="0.25">
      <c r="A283" t="s">
        <v>8</v>
      </c>
      <c r="B283" t="s">
        <v>5</v>
      </c>
      <c r="C283" s="3">
        <v>42887</v>
      </c>
      <c r="D283">
        <v>374.87</v>
      </c>
    </row>
    <row r="284" spans="1:4" x14ac:dyDescent="0.25">
      <c r="A284" t="s">
        <v>8</v>
      </c>
      <c r="B284" t="s">
        <v>5</v>
      </c>
      <c r="C284" s="3">
        <v>42917</v>
      </c>
      <c r="D284">
        <v>383.69</v>
      </c>
    </row>
    <row r="285" spans="1:4" x14ac:dyDescent="0.25">
      <c r="A285" t="s">
        <v>8</v>
      </c>
      <c r="B285" t="s">
        <v>5</v>
      </c>
      <c r="C285" s="3">
        <v>42948</v>
      </c>
      <c r="D285">
        <v>365.05</v>
      </c>
    </row>
    <row r="286" spans="1:4" x14ac:dyDescent="0.25">
      <c r="A286" t="s">
        <v>8</v>
      </c>
      <c r="B286" t="s">
        <v>5</v>
      </c>
      <c r="C286" s="3">
        <v>42979</v>
      </c>
      <c r="D286">
        <v>361.82</v>
      </c>
    </row>
    <row r="287" spans="1:4" x14ac:dyDescent="0.25">
      <c r="A287" t="s">
        <v>8</v>
      </c>
      <c r="B287" t="s">
        <v>5</v>
      </c>
      <c r="C287" s="3">
        <v>43009</v>
      </c>
      <c r="D287">
        <v>365.89</v>
      </c>
    </row>
    <row r="288" spans="1:4" x14ac:dyDescent="0.25">
      <c r="A288" t="s">
        <v>8</v>
      </c>
      <c r="B288" t="s">
        <v>5</v>
      </c>
      <c r="C288" s="3">
        <v>43040</v>
      </c>
      <c r="D288">
        <v>359.71</v>
      </c>
    </row>
    <row r="289" spans="1:4" x14ac:dyDescent="0.25">
      <c r="A289" t="s">
        <v>8</v>
      </c>
      <c r="B289" t="s">
        <v>5</v>
      </c>
      <c r="C289" s="3">
        <v>43070</v>
      </c>
      <c r="D289">
        <v>361.61</v>
      </c>
    </row>
    <row r="290" spans="1:4" x14ac:dyDescent="0.25">
      <c r="A290" t="s">
        <v>8</v>
      </c>
      <c r="B290" t="s">
        <v>5</v>
      </c>
      <c r="C290" s="3">
        <v>43101</v>
      </c>
      <c r="D290">
        <v>380.02</v>
      </c>
    </row>
    <row r="291" spans="1:4" x14ac:dyDescent="0.25">
      <c r="A291" t="s">
        <v>8</v>
      </c>
      <c r="B291" t="s">
        <v>5</v>
      </c>
      <c r="C291" s="3">
        <v>43132</v>
      </c>
      <c r="D291">
        <v>381.9</v>
      </c>
    </row>
    <row r="292" spans="1:4" x14ac:dyDescent="0.25">
      <c r="A292" t="s">
        <v>8</v>
      </c>
      <c r="B292" t="s">
        <v>5</v>
      </c>
      <c r="C292" s="3">
        <v>43160</v>
      </c>
      <c r="D292">
        <v>378.13</v>
      </c>
    </row>
    <row r="293" spans="1:4" x14ac:dyDescent="0.25">
      <c r="A293" t="s">
        <v>8</v>
      </c>
      <c r="B293" t="s">
        <v>5</v>
      </c>
      <c r="C293" s="3">
        <v>43191</v>
      </c>
      <c r="D293">
        <v>376.58</v>
      </c>
    </row>
    <row r="294" spans="1:4" x14ac:dyDescent="0.25">
      <c r="A294" t="s">
        <v>8</v>
      </c>
      <c r="B294" t="s">
        <v>5</v>
      </c>
      <c r="C294" s="3">
        <v>43221</v>
      </c>
      <c r="D294">
        <v>375.11</v>
      </c>
    </row>
    <row r="295" spans="1:4" x14ac:dyDescent="0.25">
      <c r="A295" t="s">
        <v>8</v>
      </c>
      <c r="B295" t="s">
        <v>5</v>
      </c>
      <c r="C295" s="3">
        <v>43252</v>
      </c>
      <c r="D295">
        <v>373.92</v>
      </c>
    </row>
    <row r="296" spans="1:4" x14ac:dyDescent="0.25">
      <c r="A296" t="s">
        <v>8</v>
      </c>
      <c r="B296" t="s">
        <v>5</v>
      </c>
      <c r="C296" s="3">
        <v>43282</v>
      </c>
      <c r="D296">
        <v>363.28</v>
      </c>
    </row>
    <row r="297" spans="1:4" x14ac:dyDescent="0.25">
      <c r="A297" t="s">
        <v>8</v>
      </c>
      <c r="B297" t="s">
        <v>5</v>
      </c>
      <c r="C297" s="3">
        <v>43313</v>
      </c>
      <c r="D297">
        <v>357.93</v>
      </c>
    </row>
    <row r="298" spans="1:4" x14ac:dyDescent="0.25">
      <c r="A298" t="s">
        <v>8</v>
      </c>
      <c r="B298" t="s">
        <v>5</v>
      </c>
      <c r="C298" s="3">
        <v>43344</v>
      </c>
      <c r="D298">
        <v>358.83</v>
      </c>
    </row>
    <row r="299" spans="1:4" x14ac:dyDescent="0.25">
      <c r="A299" t="s">
        <v>8</v>
      </c>
      <c r="B299" t="s">
        <v>5</v>
      </c>
      <c r="C299" s="3">
        <v>43374</v>
      </c>
      <c r="D299">
        <v>372.77</v>
      </c>
    </row>
    <row r="300" spans="1:4" x14ac:dyDescent="0.25">
      <c r="A300" t="s">
        <v>8</v>
      </c>
      <c r="B300" t="s">
        <v>5</v>
      </c>
      <c r="C300" s="3">
        <v>43405</v>
      </c>
      <c r="D300">
        <v>401.9</v>
      </c>
    </row>
    <row r="301" spans="1:4" x14ac:dyDescent="0.25">
      <c r="A301" t="s">
        <v>8</v>
      </c>
      <c r="B301" t="s">
        <v>5</v>
      </c>
      <c r="C301" s="3">
        <v>43435</v>
      </c>
      <c r="D301">
        <v>408.71</v>
      </c>
    </row>
    <row r="302" spans="1:4" x14ac:dyDescent="0.25">
      <c r="A302" t="s">
        <v>8</v>
      </c>
      <c r="B302" t="s">
        <v>5</v>
      </c>
      <c r="C302" s="3">
        <v>43466</v>
      </c>
      <c r="D302">
        <v>405.4</v>
      </c>
    </row>
    <row r="303" spans="1:4" x14ac:dyDescent="0.25">
      <c r="A303" t="s">
        <v>8</v>
      </c>
      <c r="B303" t="s">
        <v>5</v>
      </c>
      <c r="C303" s="3">
        <v>43497</v>
      </c>
      <c r="D303">
        <v>425</v>
      </c>
    </row>
    <row r="304" spans="1:4" x14ac:dyDescent="0.25">
      <c r="A304" t="s">
        <v>8</v>
      </c>
      <c r="B304" t="s">
        <v>5</v>
      </c>
      <c r="C304" s="3">
        <v>43525</v>
      </c>
      <c r="D304">
        <v>443.26</v>
      </c>
    </row>
    <row r="305" spans="1:4" x14ac:dyDescent="0.25">
      <c r="A305" t="s">
        <v>8</v>
      </c>
      <c r="B305" t="s">
        <v>5</v>
      </c>
      <c r="C305" s="3">
        <v>43556</v>
      </c>
      <c r="D305">
        <v>456.91</v>
      </c>
    </row>
    <row r="306" spans="1:4" x14ac:dyDescent="0.25">
      <c r="A306" t="s">
        <v>8</v>
      </c>
      <c r="B306" t="s">
        <v>5</v>
      </c>
      <c r="C306" s="3">
        <v>43586</v>
      </c>
      <c r="D306">
        <v>424.85</v>
      </c>
    </row>
    <row r="307" spans="1:4" x14ac:dyDescent="0.25">
      <c r="A307" t="s">
        <v>8</v>
      </c>
      <c r="B307" t="s">
        <v>5</v>
      </c>
      <c r="C307" s="3">
        <v>43617</v>
      </c>
      <c r="D307">
        <v>429.3</v>
      </c>
    </row>
    <row r="308" spans="1:4" x14ac:dyDescent="0.25">
      <c r="A308" t="s">
        <v>8</v>
      </c>
      <c r="B308" t="s">
        <v>5</v>
      </c>
      <c r="C308" s="3">
        <v>43647</v>
      </c>
      <c r="D308">
        <v>415.03</v>
      </c>
    </row>
    <row r="309" spans="1:4" x14ac:dyDescent="0.25">
      <c r="A309" t="s">
        <v>8</v>
      </c>
      <c r="B309" t="s">
        <v>5</v>
      </c>
      <c r="C309" s="3">
        <v>43678</v>
      </c>
      <c r="D309">
        <v>401.14</v>
      </c>
    </row>
    <row r="310" spans="1:4" x14ac:dyDescent="0.25">
      <c r="A310" t="s">
        <v>8</v>
      </c>
      <c r="B310" t="s">
        <v>5</v>
      </c>
      <c r="C310" s="3">
        <v>43709</v>
      </c>
      <c r="D310">
        <v>390.93</v>
      </c>
    </row>
    <row r="311" spans="1:4" x14ac:dyDescent="0.25">
      <c r="A311" t="s">
        <v>8</v>
      </c>
      <c r="B311" t="s">
        <v>5</v>
      </c>
      <c r="C311" s="3">
        <v>43739</v>
      </c>
      <c r="D311">
        <v>391.85</v>
      </c>
    </row>
    <row r="312" spans="1:4" x14ac:dyDescent="0.25">
      <c r="A312" t="s">
        <v>8</v>
      </c>
      <c r="B312" t="s">
        <v>5</v>
      </c>
      <c r="C312" s="3">
        <v>43770</v>
      </c>
      <c r="D312">
        <v>393.58</v>
      </c>
    </row>
    <row r="313" spans="1:4" x14ac:dyDescent="0.25">
      <c r="A313" t="s">
        <v>8</v>
      </c>
      <c r="B313" t="s">
        <v>5</v>
      </c>
      <c r="C313" s="3">
        <v>43800</v>
      </c>
      <c r="D313">
        <v>444.91</v>
      </c>
    </row>
    <row r="314" spans="1:4" x14ac:dyDescent="0.25">
      <c r="A314" t="s">
        <v>8</v>
      </c>
      <c r="B314" t="s">
        <v>5</v>
      </c>
      <c r="C314" s="3">
        <v>43831</v>
      </c>
      <c r="D314">
        <v>456.35</v>
      </c>
    </row>
    <row r="315" spans="1:4" x14ac:dyDescent="0.25">
      <c r="A315" t="s">
        <v>8</v>
      </c>
      <c r="B315" t="s">
        <v>5</v>
      </c>
      <c r="C315" s="3">
        <v>43862</v>
      </c>
      <c r="D315">
        <v>459.1</v>
      </c>
    </row>
    <row r="316" spans="1:4" x14ac:dyDescent="0.25">
      <c r="A316" t="s">
        <v>8</v>
      </c>
      <c r="B316" t="s">
        <v>5</v>
      </c>
      <c r="C316" s="3">
        <v>43891</v>
      </c>
      <c r="D316">
        <v>461.28</v>
      </c>
    </row>
    <row r="317" spans="1:4" x14ac:dyDescent="0.25">
      <c r="A317" t="s">
        <v>8</v>
      </c>
      <c r="B317" t="s">
        <v>5</v>
      </c>
      <c r="C317" s="3">
        <v>43922</v>
      </c>
      <c r="D317">
        <v>484.55</v>
      </c>
    </row>
    <row r="318" spans="1:4" x14ac:dyDescent="0.25">
      <c r="A318" t="s">
        <v>8</v>
      </c>
      <c r="B318" t="s">
        <v>5</v>
      </c>
      <c r="C318" s="3">
        <v>43952</v>
      </c>
      <c r="D318">
        <v>484.02</v>
      </c>
    </row>
    <row r="319" spans="1:4" x14ac:dyDescent="0.25">
      <c r="A319" t="s">
        <v>8</v>
      </c>
      <c r="B319" t="s">
        <v>5</v>
      </c>
      <c r="C319" s="3">
        <v>43983</v>
      </c>
      <c r="D319">
        <v>475.19</v>
      </c>
    </row>
    <row r="320" spans="1:4" x14ac:dyDescent="0.25">
      <c r="A320" t="s">
        <v>8</v>
      </c>
      <c r="B320" t="s">
        <v>5</v>
      </c>
      <c r="C320" s="3">
        <v>44013</v>
      </c>
      <c r="D320">
        <v>465.06</v>
      </c>
    </row>
    <row r="321" spans="1:4" x14ac:dyDescent="0.25">
      <c r="A321" t="s">
        <v>8</v>
      </c>
      <c r="B321" t="s">
        <v>5</v>
      </c>
      <c r="C321" s="3">
        <v>44044</v>
      </c>
      <c r="D321">
        <v>478.07</v>
      </c>
    </row>
    <row r="322" spans="1:4" x14ac:dyDescent="0.25">
      <c r="A322" t="s">
        <v>8</v>
      </c>
      <c r="B322" t="s">
        <v>5</v>
      </c>
      <c r="C322" s="3">
        <v>44075</v>
      </c>
      <c r="D322">
        <v>491.62</v>
      </c>
    </row>
    <row r="323" spans="1:4" x14ac:dyDescent="0.25">
      <c r="A323" t="s">
        <v>8</v>
      </c>
      <c r="B323" t="s">
        <v>5</v>
      </c>
      <c r="C323" s="3">
        <v>44105</v>
      </c>
      <c r="D323">
        <v>516.82000000000005</v>
      </c>
    </row>
    <row r="324" spans="1:4" x14ac:dyDescent="0.25">
      <c r="A324" t="s">
        <v>8</v>
      </c>
      <c r="B324" t="s">
        <v>5</v>
      </c>
      <c r="C324" s="3">
        <v>44136</v>
      </c>
      <c r="D324">
        <v>552.37</v>
      </c>
    </row>
    <row r="325" spans="1:4" x14ac:dyDescent="0.25">
      <c r="A325" t="s">
        <v>8</v>
      </c>
      <c r="B325" t="s">
        <v>5</v>
      </c>
      <c r="C325" s="3">
        <v>44166</v>
      </c>
      <c r="D325">
        <v>568.53</v>
      </c>
    </row>
    <row r="326" spans="1:4" x14ac:dyDescent="0.25">
      <c r="A326" t="s">
        <v>8</v>
      </c>
      <c r="B326" t="s">
        <v>5</v>
      </c>
      <c r="C326" s="3">
        <v>44197</v>
      </c>
      <c r="D326">
        <v>592.26</v>
      </c>
    </row>
    <row r="327" spans="1:4" x14ac:dyDescent="0.25">
      <c r="A327" t="s">
        <v>8</v>
      </c>
      <c r="B327" t="s">
        <v>5</v>
      </c>
      <c r="C327" s="3">
        <v>44228</v>
      </c>
      <c r="D327">
        <v>573.53</v>
      </c>
    </row>
    <row r="328" spans="1:4" x14ac:dyDescent="0.25">
      <c r="A328" t="s">
        <v>8</v>
      </c>
      <c r="B328" t="s">
        <v>5</v>
      </c>
      <c r="C328" s="3">
        <v>44256</v>
      </c>
      <c r="D328">
        <v>555.66999999999996</v>
      </c>
    </row>
    <row r="329" spans="1:4" x14ac:dyDescent="0.25">
      <c r="A329" t="s">
        <v>8</v>
      </c>
      <c r="B329" t="s">
        <v>5</v>
      </c>
      <c r="C329" s="3">
        <v>44287</v>
      </c>
      <c r="D329">
        <v>565.78</v>
      </c>
    </row>
    <row r="330" spans="1:4" x14ac:dyDescent="0.25">
      <c r="A330" t="s">
        <v>8</v>
      </c>
      <c r="B330" t="s">
        <v>5</v>
      </c>
      <c r="C330" s="3">
        <v>44348</v>
      </c>
      <c r="D330">
        <v>532.01</v>
      </c>
    </row>
    <row r="331" spans="1:4" x14ac:dyDescent="0.25">
      <c r="A331" t="s">
        <v>8</v>
      </c>
      <c r="B331" t="s">
        <v>5</v>
      </c>
      <c r="C331" s="3">
        <v>44378</v>
      </c>
      <c r="D331">
        <v>549.49</v>
      </c>
    </row>
    <row r="332" spans="1:4" x14ac:dyDescent="0.25">
      <c r="A332" t="s">
        <v>8</v>
      </c>
      <c r="B332" t="s">
        <v>5</v>
      </c>
      <c r="C332" s="3">
        <v>44409</v>
      </c>
      <c r="D332">
        <v>562.95000000000005</v>
      </c>
    </row>
    <row r="333" spans="1:4" x14ac:dyDescent="0.25">
      <c r="A333" t="s">
        <v>8</v>
      </c>
      <c r="B333" t="s">
        <v>5</v>
      </c>
      <c r="C333" s="3">
        <v>44440</v>
      </c>
      <c r="D333">
        <v>582.61</v>
      </c>
    </row>
    <row r="334" spans="1:4" x14ac:dyDescent="0.25">
      <c r="A334" t="s">
        <v>8</v>
      </c>
      <c r="B334" t="s">
        <v>5</v>
      </c>
      <c r="C334" s="3">
        <v>44470</v>
      </c>
      <c r="D334">
        <v>598.79</v>
      </c>
    </row>
    <row r="335" spans="1:4" x14ac:dyDescent="0.25">
      <c r="A335" t="s">
        <v>8</v>
      </c>
      <c r="B335" t="s">
        <v>5</v>
      </c>
      <c r="C335" s="3">
        <v>44501</v>
      </c>
      <c r="D335">
        <v>594.97</v>
      </c>
    </row>
    <row r="336" spans="1:4" x14ac:dyDescent="0.25">
      <c r="A336" t="s">
        <v>8</v>
      </c>
      <c r="B336" t="s">
        <v>5</v>
      </c>
      <c r="C336" s="3">
        <v>44531</v>
      </c>
      <c r="D336">
        <v>605.16</v>
      </c>
    </row>
    <row r="337" spans="1:4" x14ac:dyDescent="0.25">
      <c r="A337" t="s">
        <v>8</v>
      </c>
      <c r="B337" t="s">
        <v>5</v>
      </c>
      <c r="C337" s="3">
        <v>44562</v>
      </c>
      <c r="D337">
        <v>632.83000000000004</v>
      </c>
    </row>
    <row r="338" spans="1:4" x14ac:dyDescent="0.25">
      <c r="A338" t="s">
        <v>8</v>
      </c>
      <c r="B338" t="s">
        <v>5</v>
      </c>
      <c r="C338" s="3">
        <v>44593</v>
      </c>
      <c r="D338">
        <v>642.01</v>
      </c>
    </row>
    <row r="339" spans="1:4" x14ac:dyDescent="0.25">
      <c r="A339" t="s">
        <v>8</v>
      </c>
      <c r="B339" t="s">
        <v>5</v>
      </c>
      <c r="C339" s="3">
        <v>44621</v>
      </c>
      <c r="D339">
        <v>669.47</v>
      </c>
    </row>
    <row r="340" spans="1:4" x14ac:dyDescent="0.25">
      <c r="A340" t="s">
        <v>8</v>
      </c>
      <c r="B340" t="s">
        <v>5</v>
      </c>
      <c r="C340" s="3">
        <v>44652</v>
      </c>
      <c r="D340">
        <v>693.41</v>
      </c>
    </row>
    <row r="341" spans="1:4" x14ac:dyDescent="0.25">
      <c r="A341" t="s">
        <v>8</v>
      </c>
      <c r="B341" t="s">
        <v>5</v>
      </c>
      <c r="C341" s="3">
        <v>44682</v>
      </c>
      <c r="D341">
        <v>653.12</v>
      </c>
    </row>
    <row r="342" spans="1:4" x14ac:dyDescent="0.25">
      <c r="A342" t="s">
        <v>8</v>
      </c>
      <c r="B342" t="s">
        <v>5</v>
      </c>
      <c r="C342" s="3">
        <v>44713</v>
      </c>
      <c r="D342">
        <v>648.77</v>
      </c>
    </row>
    <row r="343" spans="1:4" x14ac:dyDescent="0.25">
      <c r="A343" t="s">
        <v>8</v>
      </c>
      <c r="B343" t="s">
        <v>5</v>
      </c>
      <c r="C343" s="3">
        <v>44743</v>
      </c>
      <c r="D343">
        <v>652.07000000000005</v>
      </c>
    </row>
    <row r="344" spans="1:4" x14ac:dyDescent="0.25">
      <c r="A344" t="s">
        <v>8</v>
      </c>
      <c r="B344" t="s">
        <v>5</v>
      </c>
      <c r="C344" s="3">
        <v>44774</v>
      </c>
      <c r="D344">
        <v>638.19000000000005</v>
      </c>
    </row>
    <row r="345" spans="1:4" x14ac:dyDescent="0.25">
      <c r="A345" t="s">
        <v>8</v>
      </c>
      <c r="B345" t="s">
        <v>5</v>
      </c>
      <c r="C345" s="3">
        <v>44805</v>
      </c>
      <c r="D345">
        <v>650.16</v>
      </c>
    </row>
    <row r="346" spans="1:4" x14ac:dyDescent="0.25">
      <c r="A346" t="s">
        <v>8</v>
      </c>
      <c r="B346" t="s">
        <v>5</v>
      </c>
      <c r="C346" s="3">
        <v>44835</v>
      </c>
      <c r="D346">
        <v>662.37</v>
      </c>
    </row>
    <row r="347" spans="1:4" x14ac:dyDescent="0.25">
      <c r="A347" t="s">
        <v>8</v>
      </c>
      <c r="B347" t="s">
        <v>5</v>
      </c>
      <c r="C347" s="3">
        <v>44866</v>
      </c>
      <c r="D347">
        <v>693.37</v>
      </c>
    </row>
    <row r="348" spans="1:4" x14ac:dyDescent="0.25">
      <c r="A348" t="s">
        <v>8</v>
      </c>
      <c r="B348" t="s">
        <v>5</v>
      </c>
      <c r="C348" s="3">
        <v>44896</v>
      </c>
      <c r="D348">
        <v>696.32</v>
      </c>
    </row>
    <row r="349" spans="1:4" x14ac:dyDescent="0.25">
      <c r="A349" t="s">
        <v>8</v>
      </c>
      <c r="B349" t="s">
        <v>5</v>
      </c>
      <c r="C349" s="3">
        <v>44927</v>
      </c>
      <c r="D349">
        <v>707.93</v>
      </c>
    </row>
    <row r="350" spans="1:4" x14ac:dyDescent="0.25">
      <c r="A350" t="s">
        <v>8</v>
      </c>
      <c r="B350" t="s">
        <v>5</v>
      </c>
      <c r="C350" s="3">
        <v>44958</v>
      </c>
      <c r="D350">
        <v>679.86</v>
      </c>
    </row>
    <row r="351" spans="1:4" x14ac:dyDescent="0.25">
      <c r="A351" t="s">
        <v>8</v>
      </c>
      <c r="B351" t="s">
        <v>5</v>
      </c>
      <c r="C351" s="3">
        <v>44986</v>
      </c>
      <c r="D351">
        <v>654.57000000000005</v>
      </c>
    </row>
    <row r="352" spans="1:4" x14ac:dyDescent="0.25">
      <c r="A352" t="s">
        <v>8</v>
      </c>
      <c r="B352" t="s">
        <v>5</v>
      </c>
      <c r="C352" s="3">
        <v>45017</v>
      </c>
      <c r="D352">
        <v>668.96</v>
      </c>
    </row>
    <row r="353" spans="1:4" x14ac:dyDescent="0.25">
      <c r="A353" t="s">
        <v>8</v>
      </c>
      <c r="B353" t="s">
        <v>5</v>
      </c>
      <c r="C353" s="3">
        <v>45047</v>
      </c>
      <c r="D353">
        <v>666.82</v>
      </c>
    </row>
    <row r="354" spans="1:4" x14ac:dyDescent="0.25">
      <c r="A354" t="s">
        <v>8</v>
      </c>
      <c r="B354" t="s">
        <v>5</v>
      </c>
      <c r="C354" s="3">
        <v>45078</v>
      </c>
      <c r="D354">
        <v>656.02</v>
      </c>
    </row>
    <row r="355" spans="1:4" x14ac:dyDescent="0.25">
      <c r="A355" t="s">
        <v>8</v>
      </c>
      <c r="B355" t="s">
        <v>5</v>
      </c>
      <c r="C355" s="3">
        <v>45108</v>
      </c>
      <c r="D355">
        <v>652.78</v>
      </c>
    </row>
    <row r="356" spans="1:4" x14ac:dyDescent="0.25">
      <c r="A356" t="s">
        <v>8</v>
      </c>
      <c r="B356" t="s">
        <v>5</v>
      </c>
      <c r="C356" s="3">
        <v>45139</v>
      </c>
      <c r="D356">
        <v>646.02</v>
      </c>
    </row>
    <row r="357" spans="1:4" x14ac:dyDescent="0.25">
      <c r="A357" t="s">
        <v>8</v>
      </c>
      <c r="B357" t="s">
        <v>5</v>
      </c>
      <c r="C357" s="3">
        <v>45170</v>
      </c>
      <c r="D357">
        <v>633.78</v>
      </c>
    </row>
    <row r="358" spans="1:4" x14ac:dyDescent="0.25">
      <c r="A358" t="s">
        <v>8</v>
      </c>
      <c r="B358" t="s">
        <v>5</v>
      </c>
      <c r="C358" s="3">
        <v>45200</v>
      </c>
      <c r="D358">
        <v>627.72</v>
      </c>
    </row>
    <row r="359" spans="1:4" x14ac:dyDescent="0.25">
      <c r="A359" t="s">
        <v>8</v>
      </c>
      <c r="B359" t="s">
        <v>5</v>
      </c>
      <c r="C359" s="3">
        <v>45231</v>
      </c>
      <c r="D359">
        <v>639.67999999999995</v>
      </c>
    </row>
    <row r="360" spans="1:4" x14ac:dyDescent="0.25">
      <c r="A360" t="s">
        <v>8</v>
      </c>
      <c r="B360" t="s">
        <v>5</v>
      </c>
      <c r="C360" s="3">
        <v>45261</v>
      </c>
      <c r="D360">
        <v>656.29</v>
      </c>
    </row>
    <row r="361" spans="1:4" x14ac:dyDescent="0.25">
      <c r="A361" t="s">
        <v>8</v>
      </c>
      <c r="B361" t="s">
        <v>5</v>
      </c>
      <c r="C361" s="3">
        <v>45292</v>
      </c>
      <c r="D361">
        <v>724.73</v>
      </c>
    </row>
    <row r="362" spans="1:4" x14ac:dyDescent="0.25">
      <c r="A362" t="s">
        <v>8</v>
      </c>
      <c r="B362" t="s">
        <v>5</v>
      </c>
      <c r="C362" s="3">
        <v>45323</v>
      </c>
      <c r="D362">
        <v>727.46</v>
      </c>
    </row>
    <row r="363" spans="1:4" x14ac:dyDescent="0.25">
      <c r="A363" t="s">
        <v>8</v>
      </c>
      <c r="B363" t="s">
        <v>5</v>
      </c>
      <c r="C363" s="3">
        <v>45352</v>
      </c>
      <c r="D363">
        <v>712.51</v>
      </c>
    </row>
    <row r="364" spans="1:4" x14ac:dyDescent="0.25">
      <c r="A364" t="s">
        <v>8</v>
      </c>
      <c r="B364" t="s">
        <v>5</v>
      </c>
      <c r="C364" s="3">
        <v>45383</v>
      </c>
      <c r="D364">
        <v>712.7</v>
      </c>
    </row>
    <row r="365" spans="1:4" x14ac:dyDescent="0.25">
      <c r="A365" t="s">
        <v>8</v>
      </c>
      <c r="B365" t="s">
        <v>5</v>
      </c>
      <c r="C365" s="3">
        <v>45413</v>
      </c>
      <c r="D365">
        <v>693.39</v>
      </c>
    </row>
    <row r="366" spans="1:4" x14ac:dyDescent="0.25">
      <c r="A366" t="s">
        <v>8</v>
      </c>
      <c r="B366" t="s">
        <v>5</v>
      </c>
      <c r="C366" s="3">
        <v>45444</v>
      </c>
      <c r="D366">
        <v>701.55</v>
      </c>
    </row>
    <row r="367" spans="1:4" x14ac:dyDescent="0.25">
      <c r="A367" t="s">
        <v>8</v>
      </c>
      <c r="B367" t="s">
        <v>5</v>
      </c>
      <c r="C367" s="3">
        <v>45474</v>
      </c>
      <c r="D367">
        <v>656.69</v>
      </c>
    </row>
    <row r="368" spans="1:4" x14ac:dyDescent="0.25">
      <c r="A368" t="s">
        <v>8</v>
      </c>
      <c r="B368" t="s">
        <v>5</v>
      </c>
      <c r="C368" s="3">
        <v>45505</v>
      </c>
      <c r="D368">
        <v>655.25</v>
      </c>
    </row>
    <row r="369" spans="1:4" x14ac:dyDescent="0.25">
      <c r="A369" t="s">
        <v>8</v>
      </c>
      <c r="B369" t="s">
        <v>5</v>
      </c>
      <c r="C369" s="3">
        <v>45536</v>
      </c>
      <c r="D369">
        <v>651.44000000000005</v>
      </c>
    </row>
    <row r="370" spans="1:4" x14ac:dyDescent="0.25">
      <c r="A370" t="s">
        <v>8</v>
      </c>
      <c r="B370" t="s">
        <v>5</v>
      </c>
      <c r="C370" s="3">
        <v>45566</v>
      </c>
      <c r="D370">
        <v>678.07</v>
      </c>
    </row>
    <row r="371" spans="1:4" x14ac:dyDescent="0.25">
      <c r="A371" t="s">
        <v>8</v>
      </c>
      <c r="B371" t="s">
        <v>5</v>
      </c>
      <c r="C371" s="3">
        <v>45597</v>
      </c>
      <c r="D371">
        <v>686.9</v>
      </c>
    </row>
    <row r="372" spans="1:4" x14ac:dyDescent="0.25">
      <c r="A372" t="s">
        <v>8</v>
      </c>
      <c r="B372" t="s">
        <v>5</v>
      </c>
      <c r="C372" s="3">
        <v>45627</v>
      </c>
      <c r="D372">
        <v>694.77</v>
      </c>
    </row>
    <row r="373" spans="1:4" x14ac:dyDescent="0.25">
      <c r="A373" t="s">
        <v>8</v>
      </c>
      <c r="B373" t="s">
        <v>5</v>
      </c>
      <c r="C373" s="3">
        <v>45658</v>
      </c>
      <c r="D373">
        <v>717.51</v>
      </c>
    </row>
    <row r="374" spans="1:4" x14ac:dyDescent="0.25">
      <c r="A374" t="s">
        <v>8</v>
      </c>
      <c r="B374" t="s">
        <v>5</v>
      </c>
      <c r="C374" s="3">
        <v>45689</v>
      </c>
      <c r="D374">
        <v>726.01</v>
      </c>
    </row>
    <row r="375" spans="1:4" x14ac:dyDescent="0.25">
      <c r="A375" t="s">
        <v>8</v>
      </c>
      <c r="B375" t="s">
        <v>5</v>
      </c>
      <c r="C375" s="3">
        <v>45717</v>
      </c>
      <c r="D375">
        <v>744.1</v>
      </c>
    </row>
    <row r="376" spans="1:4" x14ac:dyDescent="0.25">
      <c r="A376" t="s">
        <v>8</v>
      </c>
      <c r="B376" t="s">
        <v>5</v>
      </c>
      <c r="C376" s="3">
        <v>45748</v>
      </c>
      <c r="D376">
        <v>752.6</v>
      </c>
    </row>
    <row r="377" spans="1:4" x14ac:dyDescent="0.25">
      <c r="A377" t="s">
        <v>8</v>
      </c>
      <c r="B377" t="s">
        <v>5</v>
      </c>
      <c r="C377" s="3">
        <v>45778</v>
      </c>
      <c r="D377">
        <v>733.76</v>
      </c>
    </row>
    <row r="378" spans="1:4" x14ac:dyDescent="0.25">
      <c r="A378" t="s">
        <v>8</v>
      </c>
      <c r="B378" t="s">
        <v>5</v>
      </c>
      <c r="C378" s="3">
        <v>45809</v>
      </c>
      <c r="D378">
        <v>726.63</v>
      </c>
    </row>
    <row r="379" spans="1:4" x14ac:dyDescent="0.25">
      <c r="A379" t="s">
        <v>9</v>
      </c>
      <c r="B379" t="s">
        <v>5</v>
      </c>
      <c r="C379" s="3">
        <v>42005</v>
      </c>
      <c r="D379">
        <v>353.6</v>
      </c>
    </row>
    <row r="380" spans="1:4" x14ac:dyDescent="0.25">
      <c r="A380" t="s">
        <v>9</v>
      </c>
      <c r="B380" t="s">
        <v>5</v>
      </c>
      <c r="C380" s="3">
        <v>42036</v>
      </c>
      <c r="D380">
        <v>355.7</v>
      </c>
    </row>
    <row r="381" spans="1:4" x14ac:dyDescent="0.25">
      <c r="A381" t="s">
        <v>9</v>
      </c>
      <c r="B381" t="s">
        <v>5</v>
      </c>
      <c r="C381" s="3">
        <v>42064</v>
      </c>
      <c r="D381">
        <v>351.93</v>
      </c>
    </row>
    <row r="382" spans="1:4" x14ac:dyDescent="0.25">
      <c r="A382" t="s">
        <v>9</v>
      </c>
      <c r="B382" t="s">
        <v>5</v>
      </c>
      <c r="C382" s="3">
        <v>42095</v>
      </c>
      <c r="D382">
        <v>358</v>
      </c>
    </row>
    <row r="383" spans="1:4" x14ac:dyDescent="0.25">
      <c r="A383" t="s">
        <v>9</v>
      </c>
      <c r="B383" t="s">
        <v>5</v>
      </c>
      <c r="C383" s="3">
        <v>42125</v>
      </c>
      <c r="D383">
        <v>370.23</v>
      </c>
    </row>
    <row r="384" spans="1:4" x14ac:dyDescent="0.25">
      <c r="A384" t="s">
        <v>9</v>
      </c>
      <c r="B384" t="s">
        <v>5</v>
      </c>
      <c r="C384" s="3">
        <v>42156</v>
      </c>
      <c r="D384">
        <v>359.61</v>
      </c>
    </row>
    <row r="385" spans="1:4" x14ac:dyDescent="0.25">
      <c r="A385" t="s">
        <v>9</v>
      </c>
      <c r="B385" t="s">
        <v>5</v>
      </c>
      <c r="C385" s="3">
        <v>42186</v>
      </c>
      <c r="D385">
        <v>354.94</v>
      </c>
    </row>
    <row r="386" spans="1:4" x14ac:dyDescent="0.25">
      <c r="A386" t="s">
        <v>9</v>
      </c>
      <c r="B386" t="s">
        <v>5</v>
      </c>
      <c r="C386" s="3">
        <v>42217</v>
      </c>
      <c r="D386">
        <v>342.66</v>
      </c>
    </row>
    <row r="387" spans="1:4" x14ac:dyDescent="0.25">
      <c r="A387" t="s">
        <v>9</v>
      </c>
      <c r="B387" t="s">
        <v>5</v>
      </c>
      <c r="C387" s="3">
        <v>42248</v>
      </c>
      <c r="D387">
        <v>338.28</v>
      </c>
    </row>
    <row r="388" spans="1:4" x14ac:dyDescent="0.25">
      <c r="A388" t="s">
        <v>9</v>
      </c>
      <c r="B388" t="s">
        <v>5</v>
      </c>
      <c r="C388" s="3">
        <v>42278</v>
      </c>
      <c r="D388">
        <v>345.38</v>
      </c>
    </row>
    <row r="389" spans="1:4" x14ac:dyDescent="0.25">
      <c r="A389" t="s">
        <v>9</v>
      </c>
      <c r="B389" t="s">
        <v>5</v>
      </c>
      <c r="C389" s="3">
        <v>42309</v>
      </c>
      <c r="D389">
        <v>377.24</v>
      </c>
    </row>
    <row r="390" spans="1:4" x14ac:dyDescent="0.25">
      <c r="A390" t="s">
        <v>9</v>
      </c>
      <c r="B390" t="s">
        <v>5</v>
      </c>
      <c r="C390" s="3">
        <v>42339</v>
      </c>
      <c r="D390">
        <v>392.93</v>
      </c>
    </row>
    <row r="391" spans="1:4" x14ac:dyDescent="0.25">
      <c r="A391" t="s">
        <v>9</v>
      </c>
      <c r="B391" t="s">
        <v>5</v>
      </c>
      <c r="C391" s="3">
        <v>42370</v>
      </c>
      <c r="D391">
        <v>451.76</v>
      </c>
    </row>
    <row r="392" spans="1:4" x14ac:dyDescent="0.25">
      <c r="A392" t="s">
        <v>9</v>
      </c>
      <c r="B392" t="s">
        <v>5</v>
      </c>
      <c r="C392" s="3">
        <v>42401</v>
      </c>
      <c r="D392">
        <v>438.69</v>
      </c>
    </row>
    <row r="393" spans="1:4" x14ac:dyDescent="0.25">
      <c r="A393" t="s">
        <v>9</v>
      </c>
      <c r="B393" t="s">
        <v>5</v>
      </c>
      <c r="C393" s="3">
        <v>42430</v>
      </c>
      <c r="D393">
        <v>444.74</v>
      </c>
    </row>
    <row r="394" spans="1:4" x14ac:dyDescent="0.25">
      <c r="A394" t="s">
        <v>9</v>
      </c>
      <c r="B394" t="s">
        <v>5</v>
      </c>
      <c r="C394" s="3">
        <v>42461</v>
      </c>
      <c r="D394">
        <v>427.68</v>
      </c>
    </row>
    <row r="395" spans="1:4" x14ac:dyDescent="0.25">
      <c r="A395" t="s">
        <v>9</v>
      </c>
      <c r="B395" t="s">
        <v>5</v>
      </c>
      <c r="C395" s="3">
        <v>42491</v>
      </c>
      <c r="D395">
        <v>441.6</v>
      </c>
    </row>
    <row r="396" spans="1:4" x14ac:dyDescent="0.25">
      <c r="A396" t="s">
        <v>9</v>
      </c>
      <c r="B396" t="s">
        <v>5</v>
      </c>
      <c r="C396" s="3">
        <v>42522</v>
      </c>
      <c r="D396">
        <v>448.4</v>
      </c>
    </row>
    <row r="397" spans="1:4" x14ac:dyDescent="0.25">
      <c r="A397" t="s">
        <v>9</v>
      </c>
      <c r="B397" t="s">
        <v>5</v>
      </c>
      <c r="C397" s="3">
        <v>42552</v>
      </c>
      <c r="D397">
        <v>447.36</v>
      </c>
    </row>
    <row r="398" spans="1:4" x14ac:dyDescent="0.25">
      <c r="A398" t="s">
        <v>9</v>
      </c>
      <c r="B398" t="s">
        <v>5</v>
      </c>
      <c r="C398" s="3">
        <v>42583</v>
      </c>
      <c r="D398">
        <v>451.29</v>
      </c>
    </row>
    <row r="399" spans="1:4" x14ac:dyDescent="0.25">
      <c r="A399" t="s">
        <v>9</v>
      </c>
      <c r="B399" t="s">
        <v>5</v>
      </c>
      <c r="C399" s="3">
        <v>42614</v>
      </c>
      <c r="D399">
        <v>461.99</v>
      </c>
    </row>
    <row r="400" spans="1:4" x14ac:dyDescent="0.25">
      <c r="A400" t="s">
        <v>9</v>
      </c>
      <c r="B400" t="s">
        <v>5</v>
      </c>
      <c r="C400" s="3">
        <v>42644</v>
      </c>
      <c r="D400">
        <v>436.85</v>
      </c>
    </row>
    <row r="401" spans="1:4" x14ac:dyDescent="0.25">
      <c r="A401" t="s">
        <v>9</v>
      </c>
      <c r="B401" t="s">
        <v>5</v>
      </c>
      <c r="C401" s="3">
        <v>42675</v>
      </c>
      <c r="D401">
        <v>436.68</v>
      </c>
    </row>
    <row r="402" spans="1:4" x14ac:dyDescent="0.25">
      <c r="A402" t="s">
        <v>9</v>
      </c>
      <c r="B402" t="s">
        <v>5</v>
      </c>
      <c r="C402" s="3">
        <v>42705</v>
      </c>
      <c r="D402">
        <v>431.71</v>
      </c>
    </row>
    <row r="403" spans="1:4" x14ac:dyDescent="0.25">
      <c r="A403" t="s">
        <v>9</v>
      </c>
      <c r="B403" t="s">
        <v>5</v>
      </c>
      <c r="C403" s="3">
        <v>42736</v>
      </c>
      <c r="D403">
        <v>432.65</v>
      </c>
    </row>
    <row r="404" spans="1:4" x14ac:dyDescent="0.25">
      <c r="A404" t="s">
        <v>9</v>
      </c>
      <c r="B404" t="s">
        <v>5</v>
      </c>
      <c r="C404" s="3">
        <v>42767</v>
      </c>
      <c r="D404">
        <v>416.59</v>
      </c>
    </row>
    <row r="405" spans="1:4" x14ac:dyDescent="0.25">
      <c r="A405" t="s">
        <v>9</v>
      </c>
      <c r="B405" t="s">
        <v>5</v>
      </c>
      <c r="C405" s="3">
        <v>42795</v>
      </c>
      <c r="D405">
        <v>415.39</v>
      </c>
    </row>
    <row r="406" spans="1:4" x14ac:dyDescent="0.25">
      <c r="A406" t="s">
        <v>9</v>
      </c>
      <c r="B406" t="s">
        <v>5</v>
      </c>
      <c r="C406" s="3">
        <v>42826</v>
      </c>
      <c r="D406">
        <v>427.37</v>
      </c>
    </row>
    <row r="407" spans="1:4" x14ac:dyDescent="0.25">
      <c r="A407" t="s">
        <v>9</v>
      </c>
      <c r="B407" t="s">
        <v>5</v>
      </c>
      <c r="C407" s="3">
        <v>42856</v>
      </c>
      <c r="D407">
        <v>422.53</v>
      </c>
    </row>
    <row r="408" spans="1:4" x14ac:dyDescent="0.25">
      <c r="A408" t="s">
        <v>9</v>
      </c>
      <c r="B408" t="s">
        <v>5</v>
      </c>
      <c r="C408" s="3">
        <v>42887</v>
      </c>
      <c r="D408">
        <v>404.88</v>
      </c>
    </row>
    <row r="409" spans="1:4" x14ac:dyDescent="0.25">
      <c r="A409" t="s">
        <v>9</v>
      </c>
      <c r="B409" t="s">
        <v>5</v>
      </c>
      <c r="C409" s="3">
        <v>42917</v>
      </c>
      <c r="D409">
        <v>405.4</v>
      </c>
    </row>
    <row r="410" spans="1:4" x14ac:dyDescent="0.25">
      <c r="A410" t="s">
        <v>9</v>
      </c>
      <c r="B410" t="s">
        <v>5</v>
      </c>
      <c r="C410" s="3">
        <v>42948</v>
      </c>
      <c r="D410">
        <v>396.54</v>
      </c>
    </row>
    <row r="411" spans="1:4" x14ac:dyDescent="0.25">
      <c r="A411" t="s">
        <v>9</v>
      </c>
      <c r="B411" t="s">
        <v>5</v>
      </c>
      <c r="C411" s="3">
        <v>42979</v>
      </c>
      <c r="D411">
        <v>383.03</v>
      </c>
    </row>
    <row r="412" spans="1:4" x14ac:dyDescent="0.25">
      <c r="A412" t="s">
        <v>9</v>
      </c>
      <c r="B412" t="s">
        <v>5</v>
      </c>
      <c r="C412" s="3">
        <v>43009</v>
      </c>
      <c r="D412">
        <v>388.78</v>
      </c>
    </row>
    <row r="413" spans="1:4" x14ac:dyDescent="0.25">
      <c r="A413" t="s">
        <v>9</v>
      </c>
      <c r="B413" t="s">
        <v>5</v>
      </c>
      <c r="C413" s="3">
        <v>43040</v>
      </c>
      <c r="D413">
        <v>380.52</v>
      </c>
    </row>
    <row r="414" spans="1:4" x14ac:dyDescent="0.25">
      <c r="A414" t="s">
        <v>9</v>
      </c>
      <c r="B414" t="s">
        <v>5</v>
      </c>
      <c r="C414" s="3">
        <v>43070</v>
      </c>
      <c r="D414">
        <v>379.77</v>
      </c>
    </row>
    <row r="415" spans="1:4" x14ac:dyDescent="0.25">
      <c r="A415" t="s">
        <v>9</v>
      </c>
      <c r="B415" t="s">
        <v>5</v>
      </c>
      <c r="C415" s="3">
        <v>43101</v>
      </c>
      <c r="D415">
        <v>416.5</v>
      </c>
    </row>
    <row r="416" spans="1:4" x14ac:dyDescent="0.25">
      <c r="A416" t="s">
        <v>9</v>
      </c>
      <c r="B416" t="s">
        <v>5</v>
      </c>
      <c r="C416" s="3">
        <v>43132</v>
      </c>
      <c r="D416">
        <v>408.68</v>
      </c>
    </row>
    <row r="417" spans="1:4" x14ac:dyDescent="0.25">
      <c r="A417" t="s">
        <v>9</v>
      </c>
      <c r="B417" t="s">
        <v>5</v>
      </c>
      <c r="C417" s="3">
        <v>43160</v>
      </c>
      <c r="D417">
        <v>404.6</v>
      </c>
    </row>
    <row r="418" spans="1:4" x14ac:dyDescent="0.25">
      <c r="A418" t="s">
        <v>9</v>
      </c>
      <c r="B418" t="s">
        <v>5</v>
      </c>
      <c r="C418" s="3">
        <v>43191</v>
      </c>
      <c r="D418">
        <v>402.31</v>
      </c>
    </row>
    <row r="419" spans="1:4" x14ac:dyDescent="0.25">
      <c r="A419" t="s">
        <v>9</v>
      </c>
      <c r="B419" t="s">
        <v>5</v>
      </c>
      <c r="C419" s="3">
        <v>43221</v>
      </c>
      <c r="D419">
        <v>404.65</v>
      </c>
    </row>
    <row r="420" spans="1:4" x14ac:dyDescent="0.25">
      <c r="A420" t="s">
        <v>9</v>
      </c>
      <c r="B420" t="s">
        <v>5</v>
      </c>
      <c r="C420" s="3">
        <v>43252</v>
      </c>
      <c r="D420">
        <v>413.02</v>
      </c>
    </row>
    <row r="421" spans="1:4" x14ac:dyDescent="0.25">
      <c r="A421" t="s">
        <v>9</v>
      </c>
      <c r="B421" t="s">
        <v>5</v>
      </c>
      <c r="C421" s="3">
        <v>43282</v>
      </c>
      <c r="D421">
        <v>390.34</v>
      </c>
    </row>
    <row r="422" spans="1:4" x14ac:dyDescent="0.25">
      <c r="A422" t="s">
        <v>9</v>
      </c>
      <c r="B422" t="s">
        <v>5</v>
      </c>
      <c r="C422" s="3">
        <v>43313</v>
      </c>
      <c r="D422">
        <v>385.62</v>
      </c>
    </row>
    <row r="423" spans="1:4" x14ac:dyDescent="0.25">
      <c r="A423" t="s">
        <v>9</v>
      </c>
      <c r="B423" t="s">
        <v>5</v>
      </c>
      <c r="C423" s="3">
        <v>43344</v>
      </c>
      <c r="D423">
        <v>390.14</v>
      </c>
    </row>
    <row r="424" spans="1:4" x14ac:dyDescent="0.25">
      <c r="A424" t="s">
        <v>9</v>
      </c>
      <c r="B424" t="s">
        <v>5</v>
      </c>
      <c r="C424" s="3">
        <v>43374</v>
      </c>
      <c r="D424">
        <v>408.57</v>
      </c>
    </row>
    <row r="425" spans="1:4" x14ac:dyDescent="0.25">
      <c r="A425" t="s">
        <v>9</v>
      </c>
      <c r="B425" t="s">
        <v>5</v>
      </c>
      <c r="C425" s="3">
        <v>43405</v>
      </c>
      <c r="D425">
        <v>430.82</v>
      </c>
    </row>
    <row r="426" spans="1:4" x14ac:dyDescent="0.25">
      <c r="A426" t="s">
        <v>9</v>
      </c>
      <c r="B426" t="s">
        <v>5</v>
      </c>
      <c r="C426" s="3">
        <v>43435</v>
      </c>
      <c r="D426">
        <v>435.83</v>
      </c>
    </row>
    <row r="427" spans="1:4" x14ac:dyDescent="0.25">
      <c r="A427" t="s">
        <v>9</v>
      </c>
      <c r="B427" t="s">
        <v>5</v>
      </c>
      <c r="C427" s="3">
        <v>43466</v>
      </c>
      <c r="D427">
        <v>427.1</v>
      </c>
    </row>
    <row r="428" spans="1:4" x14ac:dyDescent="0.25">
      <c r="A428" t="s">
        <v>9</v>
      </c>
      <c r="B428" t="s">
        <v>5</v>
      </c>
      <c r="C428" s="3">
        <v>43497</v>
      </c>
      <c r="D428">
        <v>427.54</v>
      </c>
    </row>
    <row r="429" spans="1:4" x14ac:dyDescent="0.25">
      <c r="A429" t="s">
        <v>9</v>
      </c>
      <c r="B429" t="s">
        <v>5</v>
      </c>
      <c r="C429" s="3">
        <v>43525</v>
      </c>
      <c r="D429">
        <v>474.94</v>
      </c>
    </row>
    <row r="430" spans="1:4" x14ac:dyDescent="0.25">
      <c r="A430" t="s">
        <v>9</v>
      </c>
      <c r="B430" t="s">
        <v>5</v>
      </c>
      <c r="C430" s="3">
        <v>43556</v>
      </c>
      <c r="D430">
        <v>487.02</v>
      </c>
    </row>
    <row r="431" spans="1:4" x14ac:dyDescent="0.25">
      <c r="A431" t="s">
        <v>9</v>
      </c>
      <c r="B431" t="s">
        <v>5</v>
      </c>
      <c r="C431" s="3">
        <v>43586</v>
      </c>
      <c r="D431">
        <v>487.3</v>
      </c>
    </row>
    <row r="432" spans="1:4" x14ac:dyDescent="0.25">
      <c r="A432" t="s">
        <v>9</v>
      </c>
      <c r="B432" t="s">
        <v>5</v>
      </c>
      <c r="C432" s="3">
        <v>43617</v>
      </c>
      <c r="D432">
        <v>454.9</v>
      </c>
    </row>
    <row r="433" spans="1:4" x14ac:dyDescent="0.25">
      <c r="A433" t="s">
        <v>9</v>
      </c>
      <c r="B433" t="s">
        <v>5</v>
      </c>
      <c r="C433" s="3">
        <v>43647</v>
      </c>
      <c r="D433">
        <v>449.27</v>
      </c>
    </row>
    <row r="434" spans="1:4" x14ac:dyDescent="0.25">
      <c r="A434" t="s">
        <v>9</v>
      </c>
      <c r="B434" t="s">
        <v>5</v>
      </c>
      <c r="C434" s="3">
        <v>43678</v>
      </c>
      <c r="D434">
        <v>433.45</v>
      </c>
    </row>
    <row r="435" spans="1:4" x14ac:dyDescent="0.25">
      <c r="A435" t="s">
        <v>9</v>
      </c>
      <c r="B435" t="s">
        <v>5</v>
      </c>
      <c r="C435" s="3">
        <v>43709</v>
      </c>
      <c r="D435">
        <v>420.01</v>
      </c>
    </row>
    <row r="436" spans="1:4" x14ac:dyDescent="0.25">
      <c r="A436" t="s">
        <v>9</v>
      </c>
      <c r="B436" t="s">
        <v>5</v>
      </c>
      <c r="C436" s="3">
        <v>43739</v>
      </c>
      <c r="D436">
        <v>441.91</v>
      </c>
    </row>
    <row r="437" spans="1:4" x14ac:dyDescent="0.25">
      <c r="A437" t="s">
        <v>9</v>
      </c>
      <c r="B437" t="s">
        <v>5</v>
      </c>
      <c r="C437" s="3">
        <v>43800</v>
      </c>
      <c r="D437">
        <v>473.9</v>
      </c>
    </row>
    <row r="438" spans="1:4" x14ac:dyDescent="0.25">
      <c r="A438" t="s">
        <v>9</v>
      </c>
      <c r="B438" t="s">
        <v>5</v>
      </c>
      <c r="C438" s="3">
        <v>43831</v>
      </c>
      <c r="D438">
        <v>483.17</v>
      </c>
    </row>
    <row r="439" spans="1:4" x14ac:dyDescent="0.25">
      <c r="A439" t="s">
        <v>9</v>
      </c>
      <c r="B439" t="s">
        <v>5</v>
      </c>
      <c r="C439" s="3">
        <v>43862</v>
      </c>
      <c r="D439">
        <v>481.78</v>
      </c>
    </row>
    <row r="440" spans="1:4" x14ac:dyDescent="0.25">
      <c r="A440" t="s">
        <v>9</v>
      </c>
      <c r="B440" t="s">
        <v>5</v>
      </c>
      <c r="C440" s="3">
        <v>43891</v>
      </c>
      <c r="D440">
        <v>484.15</v>
      </c>
    </row>
    <row r="441" spans="1:4" x14ac:dyDescent="0.25">
      <c r="A441" t="s">
        <v>9</v>
      </c>
      <c r="B441" t="s">
        <v>5</v>
      </c>
      <c r="C441" s="3">
        <v>43922</v>
      </c>
      <c r="D441">
        <v>471.17</v>
      </c>
    </row>
    <row r="442" spans="1:4" x14ac:dyDescent="0.25">
      <c r="A442" t="s">
        <v>9</v>
      </c>
      <c r="B442" t="s">
        <v>5</v>
      </c>
      <c r="C442" s="3">
        <v>43952</v>
      </c>
      <c r="D442">
        <v>441.09</v>
      </c>
    </row>
    <row r="443" spans="1:4" x14ac:dyDescent="0.25">
      <c r="A443" t="s">
        <v>9</v>
      </c>
      <c r="B443" t="s">
        <v>5</v>
      </c>
      <c r="C443" s="3">
        <v>43983</v>
      </c>
      <c r="D443">
        <v>450.45</v>
      </c>
    </row>
    <row r="444" spans="1:4" x14ac:dyDescent="0.25">
      <c r="A444" t="s">
        <v>9</v>
      </c>
      <c r="B444" t="s">
        <v>5</v>
      </c>
      <c r="C444" s="3">
        <v>44013</v>
      </c>
      <c r="D444">
        <v>449.96</v>
      </c>
    </row>
    <row r="445" spans="1:4" x14ac:dyDescent="0.25">
      <c r="A445" t="s">
        <v>9</v>
      </c>
      <c r="B445" t="s">
        <v>5</v>
      </c>
      <c r="C445" s="3">
        <v>44044</v>
      </c>
      <c r="D445">
        <v>443.28</v>
      </c>
    </row>
    <row r="446" spans="1:4" x14ac:dyDescent="0.25">
      <c r="A446" t="s">
        <v>9</v>
      </c>
      <c r="B446" t="s">
        <v>5</v>
      </c>
      <c r="C446" s="3">
        <v>44075</v>
      </c>
      <c r="D446">
        <v>445.76</v>
      </c>
    </row>
    <row r="447" spans="1:4" x14ac:dyDescent="0.25">
      <c r="A447" t="s">
        <v>9</v>
      </c>
      <c r="B447" t="s">
        <v>5</v>
      </c>
      <c r="C447" s="3">
        <v>44105</v>
      </c>
      <c r="D447">
        <v>490.48</v>
      </c>
    </row>
    <row r="448" spans="1:4" x14ac:dyDescent="0.25">
      <c r="A448" t="s">
        <v>9</v>
      </c>
      <c r="B448" t="s">
        <v>5</v>
      </c>
      <c r="C448" s="3">
        <v>44136</v>
      </c>
      <c r="D448">
        <v>572.64</v>
      </c>
    </row>
    <row r="449" spans="1:4" x14ac:dyDescent="0.25">
      <c r="A449" t="s">
        <v>9</v>
      </c>
      <c r="B449" t="s">
        <v>5</v>
      </c>
      <c r="C449" s="3">
        <v>44166</v>
      </c>
      <c r="D449">
        <v>591.82000000000005</v>
      </c>
    </row>
    <row r="450" spans="1:4" x14ac:dyDescent="0.25">
      <c r="A450" t="s">
        <v>9</v>
      </c>
      <c r="B450" t="s">
        <v>5</v>
      </c>
      <c r="C450" s="3">
        <v>44197</v>
      </c>
      <c r="D450">
        <v>614.30999999999995</v>
      </c>
    </row>
    <row r="451" spans="1:4" x14ac:dyDescent="0.25">
      <c r="A451" t="s">
        <v>9</v>
      </c>
      <c r="B451" t="s">
        <v>5</v>
      </c>
      <c r="C451" s="3">
        <v>44228</v>
      </c>
      <c r="D451">
        <v>591.44000000000005</v>
      </c>
    </row>
    <row r="452" spans="1:4" x14ac:dyDescent="0.25">
      <c r="A452" t="s">
        <v>9</v>
      </c>
      <c r="B452" t="s">
        <v>5</v>
      </c>
      <c r="C452" s="3">
        <v>44256</v>
      </c>
      <c r="D452">
        <v>580.76</v>
      </c>
    </row>
    <row r="453" spans="1:4" x14ac:dyDescent="0.25">
      <c r="A453" t="s">
        <v>9</v>
      </c>
      <c r="B453" t="s">
        <v>5</v>
      </c>
      <c r="C453" s="3">
        <v>44287</v>
      </c>
      <c r="D453">
        <v>587.33000000000004</v>
      </c>
    </row>
    <row r="454" spans="1:4" x14ac:dyDescent="0.25">
      <c r="A454" t="s">
        <v>9</v>
      </c>
      <c r="B454" t="s">
        <v>5</v>
      </c>
      <c r="C454" s="3">
        <v>44317</v>
      </c>
      <c r="D454">
        <v>588.24</v>
      </c>
    </row>
    <row r="455" spans="1:4" x14ac:dyDescent="0.25">
      <c r="A455" t="s">
        <v>9</v>
      </c>
      <c r="B455" t="s">
        <v>5</v>
      </c>
      <c r="C455" s="3">
        <v>44348</v>
      </c>
      <c r="D455">
        <v>584.99</v>
      </c>
    </row>
    <row r="456" spans="1:4" x14ac:dyDescent="0.25">
      <c r="A456" t="s">
        <v>9</v>
      </c>
      <c r="B456" t="s">
        <v>5</v>
      </c>
      <c r="C456" s="3">
        <v>44378</v>
      </c>
      <c r="D456">
        <v>582.35</v>
      </c>
    </row>
    <row r="457" spans="1:4" x14ac:dyDescent="0.25">
      <c r="A457" t="s">
        <v>9</v>
      </c>
      <c r="B457" t="s">
        <v>5</v>
      </c>
      <c r="C457" s="3">
        <v>44409</v>
      </c>
      <c r="D457">
        <v>594.59</v>
      </c>
    </row>
    <row r="458" spans="1:4" x14ac:dyDescent="0.25">
      <c r="A458" t="s">
        <v>9</v>
      </c>
      <c r="B458" t="s">
        <v>5</v>
      </c>
      <c r="C458" s="3">
        <v>44440</v>
      </c>
      <c r="D458">
        <v>617.65</v>
      </c>
    </row>
    <row r="459" spans="1:4" x14ac:dyDescent="0.25">
      <c r="A459" t="s">
        <v>9</v>
      </c>
      <c r="B459" t="s">
        <v>5</v>
      </c>
      <c r="C459" s="3">
        <v>44470</v>
      </c>
      <c r="D459">
        <v>644.09</v>
      </c>
    </row>
    <row r="460" spans="1:4" x14ac:dyDescent="0.25">
      <c r="A460" t="s">
        <v>9</v>
      </c>
      <c r="B460" t="s">
        <v>5</v>
      </c>
      <c r="C460" s="3">
        <v>44501</v>
      </c>
      <c r="D460">
        <v>631.95000000000005</v>
      </c>
    </row>
    <row r="461" spans="1:4" x14ac:dyDescent="0.25">
      <c r="A461" t="s">
        <v>9</v>
      </c>
      <c r="B461" t="s">
        <v>5</v>
      </c>
      <c r="C461" s="3">
        <v>44531</v>
      </c>
      <c r="D461">
        <v>621.55999999999995</v>
      </c>
    </row>
    <row r="462" spans="1:4" x14ac:dyDescent="0.25">
      <c r="A462" t="s">
        <v>9</v>
      </c>
      <c r="B462" t="s">
        <v>5</v>
      </c>
      <c r="C462" s="3">
        <v>44562</v>
      </c>
      <c r="D462">
        <v>661.09</v>
      </c>
    </row>
    <row r="463" spans="1:4" x14ac:dyDescent="0.25">
      <c r="A463" t="s">
        <v>9</v>
      </c>
      <c r="B463" t="s">
        <v>5</v>
      </c>
      <c r="C463" s="3">
        <v>44593</v>
      </c>
      <c r="D463">
        <v>670.98</v>
      </c>
    </row>
    <row r="464" spans="1:4" x14ac:dyDescent="0.25">
      <c r="A464" t="s">
        <v>9</v>
      </c>
      <c r="B464" t="s">
        <v>5</v>
      </c>
      <c r="C464" s="3">
        <v>44621</v>
      </c>
      <c r="D464">
        <v>704.65</v>
      </c>
    </row>
    <row r="465" spans="1:4" x14ac:dyDescent="0.25">
      <c r="A465" t="s">
        <v>9</v>
      </c>
      <c r="B465" t="s">
        <v>5</v>
      </c>
      <c r="C465" s="3">
        <v>44652</v>
      </c>
      <c r="D465">
        <v>741.55</v>
      </c>
    </row>
    <row r="466" spans="1:4" x14ac:dyDescent="0.25">
      <c r="A466" t="s">
        <v>9</v>
      </c>
      <c r="B466" t="s">
        <v>5</v>
      </c>
      <c r="C466" s="3">
        <v>44682</v>
      </c>
      <c r="D466">
        <v>696.34</v>
      </c>
    </row>
    <row r="467" spans="1:4" x14ac:dyDescent="0.25">
      <c r="A467" t="s">
        <v>9</v>
      </c>
      <c r="B467" t="s">
        <v>5</v>
      </c>
      <c r="C467" s="3">
        <v>44713</v>
      </c>
      <c r="D467">
        <v>698.36</v>
      </c>
    </row>
    <row r="468" spans="1:4" x14ac:dyDescent="0.25">
      <c r="A468" t="s">
        <v>9</v>
      </c>
      <c r="B468" t="s">
        <v>5</v>
      </c>
      <c r="C468" s="3">
        <v>44743</v>
      </c>
      <c r="D468">
        <v>703.93</v>
      </c>
    </row>
    <row r="469" spans="1:4" x14ac:dyDescent="0.25">
      <c r="A469" t="s">
        <v>9</v>
      </c>
      <c r="B469" t="s">
        <v>5</v>
      </c>
      <c r="C469" s="3">
        <v>44774</v>
      </c>
      <c r="D469">
        <v>689.31</v>
      </c>
    </row>
    <row r="470" spans="1:4" x14ac:dyDescent="0.25">
      <c r="A470" t="s">
        <v>9</v>
      </c>
      <c r="B470" t="s">
        <v>5</v>
      </c>
      <c r="C470" s="3">
        <v>44805</v>
      </c>
      <c r="D470">
        <v>687.21</v>
      </c>
    </row>
    <row r="471" spans="1:4" x14ac:dyDescent="0.25">
      <c r="A471" t="s">
        <v>9</v>
      </c>
      <c r="B471" t="s">
        <v>5</v>
      </c>
      <c r="C471" s="3">
        <v>44835</v>
      </c>
      <c r="D471">
        <v>699.09</v>
      </c>
    </row>
    <row r="472" spans="1:4" x14ac:dyDescent="0.25">
      <c r="A472" t="s">
        <v>9</v>
      </c>
      <c r="B472" t="s">
        <v>5</v>
      </c>
      <c r="C472" s="3">
        <v>44866</v>
      </c>
      <c r="D472">
        <v>712.2</v>
      </c>
    </row>
    <row r="473" spans="1:4" x14ac:dyDescent="0.25">
      <c r="A473" t="s">
        <v>9</v>
      </c>
      <c r="B473" t="s">
        <v>5</v>
      </c>
      <c r="C473" s="3">
        <v>44896</v>
      </c>
      <c r="D473">
        <v>728.78</v>
      </c>
    </row>
    <row r="474" spans="1:4" x14ac:dyDescent="0.25">
      <c r="A474" t="s">
        <v>9</v>
      </c>
      <c r="B474" t="s">
        <v>5</v>
      </c>
      <c r="C474" s="3">
        <v>44927</v>
      </c>
      <c r="D474">
        <v>729.73</v>
      </c>
    </row>
    <row r="475" spans="1:4" x14ac:dyDescent="0.25">
      <c r="A475" t="s">
        <v>9</v>
      </c>
      <c r="B475" t="s">
        <v>5</v>
      </c>
      <c r="C475" s="3">
        <v>44958</v>
      </c>
      <c r="D475">
        <v>719.74</v>
      </c>
    </row>
    <row r="476" spans="1:4" x14ac:dyDescent="0.25">
      <c r="A476" t="s">
        <v>9</v>
      </c>
      <c r="B476" t="s">
        <v>5</v>
      </c>
      <c r="C476" s="3">
        <v>44986</v>
      </c>
      <c r="D476">
        <v>693.32</v>
      </c>
    </row>
    <row r="477" spans="1:4" x14ac:dyDescent="0.25">
      <c r="A477" t="s">
        <v>9</v>
      </c>
      <c r="B477" t="s">
        <v>5</v>
      </c>
      <c r="C477" s="3">
        <v>45017</v>
      </c>
      <c r="D477">
        <v>717.09</v>
      </c>
    </row>
    <row r="478" spans="1:4" x14ac:dyDescent="0.25">
      <c r="A478" t="s">
        <v>9</v>
      </c>
      <c r="B478" t="s">
        <v>5</v>
      </c>
      <c r="C478" s="3">
        <v>45047</v>
      </c>
      <c r="D478">
        <v>703.43</v>
      </c>
    </row>
    <row r="479" spans="1:4" x14ac:dyDescent="0.25">
      <c r="A479" t="s">
        <v>9</v>
      </c>
      <c r="B479" t="s">
        <v>5</v>
      </c>
      <c r="C479" s="3">
        <v>45078</v>
      </c>
      <c r="D479">
        <v>687.33</v>
      </c>
    </row>
    <row r="480" spans="1:4" x14ac:dyDescent="0.25">
      <c r="A480" t="s">
        <v>9</v>
      </c>
      <c r="B480" t="s">
        <v>5</v>
      </c>
      <c r="C480" s="3">
        <v>45108</v>
      </c>
      <c r="D480">
        <v>687.58</v>
      </c>
    </row>
    <row r="481" spans="1:4" x14ac:dyDescent="0.25">
      <c r="A481" t="s">
        <v>9</v>
      </c>
      <c r="B481" t="s">
        <v>5</v>
      </c>
      <c r="C481" s="3">
        <v>45139</v>
      </c>
      <c r="D481">
        <v>689.98</v>
      </c>
    </row>
    <row r="482" spans="1:4" x14ac:dyDescent="0.25">
      <c r="A482" t="s">
        <v>9</v>
      </c>
      <c r="B482" t="s">
        <v>5</v>
      </c>
      <c r="C482" s="3">
        <v>45170</v>
      </c>
      <c r="D482">
        <v>662.2</v>
      </c>
    </row>
    <row r="483" spans="1:4" x14ac:dyDescent="0.25">
      <c r="A483" t="s">
        <v>9</v>
      </c>
      <c r="B483" t="s">
        <v>5</v>
      </c>
      <c r="C483" s="3">
        <v>45200</v>
      </c>
      <c r="D483">
        <v>647.76</v>
      </c>
    </row>
    <row r="484" spans="1:4" x14ac:dyDescent="0.25">
      <c r="A484" t="s">
        <v>9</v>
      </c>
      <c r="B484" t="s">
        <v>5</v>
      </c>
      <c r="C484" s="3">
        <v>45231</v>
      </c>
      <c r="D484">
        <v>667.58</v>
      </c>
    </row>
    <row r="485" spans="1:4" x14ac:dyDescent="0.25">
      <c r="A485" t="s">
        <v>9</v>
      </c>
      <c r="B485" t="s">
        <v>5</v>
      </c>
      <c r="C485" s="3">
        <v>45261</v>
      </c>
      <c r="D485">
        <v>698.74</v>
      </c>
    </row>
    <row r="486" spans="1:4" x14ac:dyDescent="0.25">
      <c r="A486" t="s">
        <v>9</v>
      </c>
      <c r="B486" t="s">
        <v>5</v>
      </c>
      <c r="C486" s="3">
        <v>45292</v>
      </c>
      <c r="D486">
        <v>742.52</v>
      </c>
    </row>
    <row r="487" spans="1:4" x14ac:dyDescent="0.25">
      <c r="A487" t="s">
        <v>9</v>
      </c>
      <c r="B487" t="s">
        <v>5</v>
      </c>
      <c r="C487" s="3">
        <v>45323</v>
      </c>
      <c r="D487">
        <v>741.91</v>
      </c>
    </row>
    <row r="488" spans="1:4" x14ac:dyDescent="0.25">
      <c r="A488" t="s">
        <v>9</v>
      </c>
      <c r="B488" t="s">
        <v>5</v>
      </c>
      <c r="C488" s="3">
        <v>45352</v>
      </c>
      <c r="D488">
        <v>747.68</v>
      </c>
    </row>
    <row r="489" spans="1:4" x14ac:dyDescent="0.25">
      <c r="A489" t="s">
        <v>9</v>
      </c>
      <c r="B489" t="s">
        <v>5</v>
      </c>
      <c r="C489" s="3">
        <v>45383</v>
      </c>
      <c r="D489">
        <v>727.95</v>
      </c>
    </row>
    <row r="490" spans="1:4" x14ac:dyDescent="0.25">
      <c r="A490" t="s">
        <v>9</v>
      </c>
      <c r="B490" t="s">
        <v>5</v>
      </c>
      <c r="C490" s="3">
        <v>45413</v>
      </c>
      <c r="D490">
        <v>737.37</v>
      </c>
    </row>
    <row r="491" spans="1:4" x14ac:dyDescent="0.25">
      <c r="A491" t="s">
        <v>9</v>
      </c>
      <c r="B491" t="s">
        <v>5</v>
      </c>
      <c r="C491" s="3">
        <v>45444</v>
      </c>
      <c r="D491">
        <v>738.93</v>
      </c>
    </row>
    <row r="492" spans="1:4" x14ac:dyDescent="0.25">
      <c r="A492" t="s">
        <v>9</v>
      </c>
      <c r="B492" t="s">
        <v>5</v>
      </c>
      <c r="C492" s="3">
        <v>45474</v>
      </c>
      <c r="D492">
        <v>694.31</v>
      </c>
    </row>
    <row r="493" spans="1:4" x14ac:dyDescent="0.25">
      <c r="A493" t="s">
        <v>9</v>
      </c>
      <c r="B493" t="s">
        <v>5</v>
      </c>
      <c r="C493" s="3">
        <v>45505</v>
      </c>
      <c r="D493">
        <v>673.14</v>
      </c>
    </row>
    <row r="494" spans="1:4" x14ac:dyDescent="0.25">
      <c r="A494" t="s">
        <v>9</v>
      </c>
      <c r="B494" t="s">
        <v>5</v>
      </c>
      <c r="C494" s="3">
        <v>45536</v>
      </c>
      <c r="D494">
        <v>682.51</v>
      </c>
    </row>
    <row r="495" spans="1:4" x14ac:dyDescent="0.25">
      <c r="A495" t="s">
        <v>9</v>
      </c>
      <c r="B495" t="s">
        <v>5</v>
      </c>
      <c r="C495" s="3">
        <v>45566</v>
      </c>
      <c r="D495">
        <v>711.05</v>
      </c>
    </row>
    <row r="496" spans="1:4" x14ac:dyDescent="0.25">
      <c r="A496" t="s">
        <v>9</v>
      </c>
      <c r="B496" t="s">
        <v>5</v>
      </c>
      <c r="C496" s="3">
        <v>45597</v>
      </c>
      <c r="D496">
        <v>742.25</v>
      </c>
    </row>
    <row r="497" spans="1:4" x14ac:dyDescent="0.25">
      <c r="A497" t="s">
        <v>9</v>
      </c>
      <c r="B497" t="s">
        <v>5</v>
      </c>
      <c r="C497" s="3">
        <v>45627</v>
      </c>
      <c r="D497">
        <v>743.19</v>
      </c>
    </row>
    <row r="498" spans="1:4" x14ac:dyDescent="0.25">
      <c r="A498" t="s">
        <v>9</v>
      </c>
      <c r="B498" t="s">
        <v>5</v>
      </c>
      <c r="C498" s="3">
        <v>45658</v>
      </c>
      <c r="D498">
        <v>756.03</v>
      </c>
    </row>
    <row r="499" spans="1:4" x14ac:dyDescent="0.25">
      <c r="A499" t="s">
        <v>9</v>
      </c>
      <c r="B499" t="s">
        <v>5</v>
      </c>
      <c r="C499" s="3">
        <v>45689</v>
      </c>
      <c r="D499">
        <v>772.3</v>
      </c>
    </row>
    <row r="500" spans="1:4" x14ac:dyDescent="0.25">
      <c r="A500" t="s">
        <v>9</v>
      </c>
      <c r="B500" t="s">
        <v>5</v>
      </c>
      <c r="C500" s="3">
        <v>45717</v>
      </c>
      <c r="D500">
        <v>782.65</v>
      </c>
    </row>
    <row r="501" spans="1:4" x14ac:dyDescent="0.25">
      <c r="A501" t="s">
        <v>9</v>
      </c>
      <c r="B501" t="s">
        <v>5</v>
      </c>
      <c r="C501" s="3">
        <v>45748</v>
      </c>
      <c r="D501">
        <v>775.84</v>
      </c>
    </row>
    <row r="502" spans="1:4" x14ac:dyDescent="0.25">
      <c r="A502" t="s">
        <v>9</v>
      </c>
      <c r="B502" t="s">
        <v>5</v>
      </c>
      <c r="C502" s="3">
        <v>45778</v>
      </c>
      <c r="D502">
        <v>774.33</v>
      </c>
    </row>
    <row r="503" spans="1:4" x14ac:dyDescent="0.25">
      <c r="A503" t="s">
        <v>9</v>
      </c>
      <c r="B503" t="s">
        <v>5</v>
      </c>
      <c r="C503" s="3">
        <v>45809</v>
      </c>
      <c r="D503">
        <v>773.35</v>
      </c>
    </row>
    <row r="504" spans="1:4" x14ac:dyDescent="0.25">
      <c r="A504" t="s">
        <v>10</v>
      </c>
      <c r="B504" t="s">
        <v>5</v>
      </c>
      <c r="C504" s="3">
        <v>42005</v>
      </c>
      <c r="D504">
        <v>335.82</v>
      </c>
    </row>
    <row r="505" spans="1:4" x14ac:dyDescent="0.25">
      <c r="A505" t="s">
        <v>10</v>
      </c>
      <c r="B505" t="s">
        <v>5</v>
      </c>
      <c r="C505" s="3">
        <v>42036</v>
      </c>
      <c r="D505">
        <v>341.64</v>
      </c>
    </row>
    <row r="506" spans="1:4" x14ac:dyDescent="0.25">
      <c r="A506" t="s">
        <v>10</v>
      </c>
      <c r="B506" t="s">
        <v>5</v>
      </c>
      <c r="C506" s="3">
        <v>42064</v>
      </c>
      <c r="D506">
        <v>349.69</v>
      </c>
    </row>
    <row r="507" spans="1:4" x14ac:dyDescent="0.25">
      <c r="A507" t="s">
        <v>10</v>
      </c>
      <c r="B507" t="s">
        <v>5</v>
      </c>
      <c r="C507" s="3">
        <v>42095</v>
      </c>
      <c r="D507">
        <v>359.39</v>
      </c>
    </row>
    <row r="508" spans="1:4" x14ac:dyDescent="0.25">
      <c r="A508" t="s">
        <v>10</v>
      </c>
      <c r="B508" t="s">
        <v>5</v>
      </c>
      <c r="C508" s="3">
        <v>42125</v>
      </c>
      <c r="D508">
        <v>364.8</v>
      </c>
    </row>
    <row r="509" spans="1:4" x14ac:dyDescent="0.25">
      <c r="A509" t="s">
        <v>10</v>
      </c>
      <c r="B509" t="s">
        <v>5</v>
      </c>
      <c r="C509" s="3">
        <v>42156</v>
      </c>
      <c r="D509">
        <v>359.69</v>
      </c>
    </row>
    <row r="510" spans="1:4" x14ac:dyDescent="0.25">
      <c r="A510" t="s">
        <v>10</v>
      </c>
      <c r="B510" t="s">
        <v>5</v>
      </c>
      <c r="C510" s="3">
        <v>42186</v>
      </c>
      <c r="D510">
        <v>360.28</v>
      </c>
    </row>
    <row r="511" spans="1:4" x14ac:dyDescent="0.25">
      <c r="A511" t="s">
        <v>10</v>
      </c>
      <c r="B511" t="s">
        <v>5</v>
      </c>
      <c r="C511" s="3">
        <v>42217</v>
      </c>
      <c r="D511">
        <v>354.94</v>
      </c>
    </row>
    <row r="512" spans="1:4" x14ac:dyDescent="0.25">
      <c r="A512" t="s">
        <v>10</v>
      </c>
      <c r="B512" t="s">
        <v>5</v>
      </c>
      <c r="C512" s="3">
        <v>42248</v>
      </c>
      <c r="D512">
        <v>356.51</v>
      </c>
    </row>
    <row r="513" spans="1:4" x14ac:dyDescent="0.25">
      <c r="A513" t="s">
        <v>10</v>
      </c>
      <c r="B513" t="s">
        <v>5</v>
      </c>
      <c r="C513" s="3">
        <v>42278</v>
      </c>
      <c r="D513">
        <v>349.93</v>
      </c>
    </row>
    <row r="514" spans="1:4" x14ac:dyDescent="0.25">
      <c r="A514" t="s">
        <v>10</v>
      </c>
      <c r="B514" t="s">
        <v>5</v>
      </c>
      <c r="C514" s="3">
        <v>42309</v>
      </c>
      <c r="D514">
        <v>375.26</v>
      </c>
    </row>
    <row r="515" spans="1:4" x14ac:dyDescent="0.25">
      <c r="A515" t="s">
        <v>10</v>
      </c>
      <c r="B515" t="s">
        <v>5</v>
      </c>
      <c r="C515" s="3">
        <v>42339</v>
      </c>
      <c r="D515">
        <v>387.79</v>
      </c>
    </row>
    <row r="516" spans="1:4" x14ac:dyDescent="0.25">
      <c r="A516" t="s">
        <v>10</v>
      </c>
      <c r="B516" t="s">
        <v>5</v>
      </c>
      <c r="C516" s="3">
        <v>42370</v>
      </c>
      <c r="D516">
        <v>398.46</v>
      </c>
    </row>
    <row r="517" spans="1:4" x14ac:dyDescent="0.25">
      <c r="A517" t="s">
        <v>10</v>
      </c>
      <c r="B517" t="s">
        <v>5</v>
      </c>
      <c r="C517" s="3">
        <v>42401</v>
      </c>
      <c r="D517">
        <v>392.75</v>
      </c>
    </row>
    <row r="518" spans="1:4" x14ac:dyDescent="0.25">
      <c r="A518" t="s">
        <v>10</v>
      </c>
      <c r="B518" t="s">
        <v>5</v>
      </c>
      <c r="C518" s="3">
        <v>42430</v>
      </c>
      <c r="D518">
        <v>400.78</v>
      </c>
    </row>
    <row r="519" spans="1:4" x14ac:dyDescent="0.25">
      <c r="A519" t="s">
        <v>10</v>
      </c>
      <c r="B519" t="s">
        <v>5</v>
      </c>
      <c r="C519" s="3">
        <v>42461</v>
      </c>
      <c r="D519">
        <v>396.34</v>
      </c>
    </row>
    <row r="520" spans="1:4" x14ac:dyDescent="0.25">
      <c r="A520" t="s">
        <v>10</v>
      </c>
      <c r="B520" t="s">
        <v>5</v>
      </c>
      <c r="C520" s="3">
        <v>42491</v>
      </c>
      <c r="D520">
        <v>410.05</v>
      </c>
    </row>
    <row r="521" spans="1:4" x14ac:dyDescent="0.25">
      <c r="A521" t="s">
        <v>10</v>
      </c>
      <c r="B521" t="s">
        <v>5</v>
      </c>
      <c r="C521" s="3">
        <v>42522</v>
      </c>
      <c r="D521">
        <v>416.49</v>
      </c>
    </row>
    <row r="522" spans="1:4" x14ac:dyDescent="0.25">
      <c r="A522" t="s">
        <v>10</v>
      </c>
      <c r="B522" t="s">
        <v>5</v>
      </c>
      <c r="C522" s="3">
        <v>42552</v>
      </c>
      <c r="D522">
        <v>420.24</v>
      </c>
    </row>
    <row r="523" spans="1:4" x14ac:dyDescent="0.25">
      <c r="A523" t="s">
        <v>10</v>
      </c>
      <c r="B523" t="s">
        <v>5</v>
      </c>
      <c r="C523" s="3">
        <v>42583</v>
      </c>
      <c r="D523">
        <v>431.14</v>
      </c>
    </row>
    <row r="524" spans="1:4" x14ac:dyDescent="0.25">
      <c r="A524" t="s">
        <v>10</v>
      </c>
      <c r="B524" t="s">
        <v>5</v>
      </c>
      <c r="C524" s="3">
        <v>42614</v>
      </c>
      <c r="D524">
        <v>424.87</v>
      </c>
    </row>
    <row r="525" spans="1:4" x14ac:dyDescent="0.25">
      <c r="A525" t="s">
        <v>10</v>
      </c>
      <c r="B525" t="s">
        <v>5</v>
      </c>
      <c r="C525" s="3">
        <v>42644</v>
      </c>
      <c r="D525">
        <v>432.98</v>
      </c>
    </row>
    <row r="526" spans="1:4" x14ac:dyDescent="0.25">
      <c r="A526" t="s">
        <v>10</v>
      </c>
      <c r="B526" t="s">
        <v>5</v>
      </c>
      <c r="C526" s="3">
        <v>42675</v>
      </c>
      <c r="D526">
        <v>421.38</v>
      </c>
    </row>
    <row r="527" spans="1:4" x14ac:dyDescent="0.25">
      <c r="A527" t="s">
        <v>10</v>
      </c>
      <c r="B527" t="s">
        <v>5</v>
      </c>
      <c r="C527" s="3">
        <v>42705</v>
      </c>
      <c r="D527">
        <v>409.86</v>
      </c>
    </row>
    <row r="528" spans="1:4" x14ac:dyDescent="0.25">
      <c r="A528" t="s">
        <v>10</v>
      </c>
      <c r="B528" t="s">
        <v>5</v>
      </c>
      <c r="C528" s="3">
        <v>42736</v>
      </c>
      <c r="D528">
        <v>397.69</v>
      </c>
    </row>
    <row r="529" spans="1:4" x14ac:dyDescent="0.25">
      <c r="A529" t="s">
        <v>10</v>
      </c>
      <c r="B529" t="s">
        <v>5</v>
      </c>
      <c r="C529" s="3">
        <v>42767</v>
      </c>
      <c r="D529">
        <v>387.27</v>
      </c>
    </row>
    <row r="530" spans="1:4" x14ac:dyDescent="0.25">
      <c r="A530" t="s">
        <v>10</v>
      </c>
      <c r="B530" t="s">
        <v>5</v>
      </c>
      <c r="C530" s="3">
        <v>42795</v>
      </c>
      <c r="D530">
        <v>389.52</v>
      </c>
    </row>
    <row r="531" spans="1:4" x14ac:dyDescent="0.25">
      <c r="A531" t="s">
        <v>10</v>
      </c>
      <c r="B531" t="s">
        <v>5</v>
      </c>
      <c r="C531" s="3">
        <v>42826</v>
      </c>
      <c r="D531">
        <v>404.55</v>
      </c>
    </row>
    <row r="532" spans="1:4" x14ac:dyDescent="0.25">
      <c r="A532" t="s">
        <v>10</v>
      </c>
      <c r="B532" t="s">
        <v>5</v>
      </c>
      <c r="C532" s="3">
        <v>42856</v>
      </c>
      <c r="D532">
        <v>403.51</v>
      </c>
    </row>
    <row r="533" spans="1:4" x14ac:dyDescent="0.25">
      <c r="A533" t="s">
        <v>10</v>
      </c>
      <c r="B533" t="s">
        <v>5</v>
      </c>
      <c r="C533" s="3">
        <v>42887</v>
      </c>
      <c r="D533">
        <v>394.49</v>
      </c>
    </row>
    <row r="534" spans="1:4" x14ac:dyDescent="0.25">
      <c r="A534" t="s">
        <v>10</v>
      </c>
      <c r="B534" t="s">
        <v>5</v>
      </c>
      <c r="C534" s="3">
        <v>42917</v>
      </c>
      <c r="D534">
        <v>399</v>
      </c>
    </row>
    <row r="535" spans="1:4" x14ac:dyDescent="0.25">
      <c r="A535" t="s">
        <v>10</v>
      </c>
      <c r="B535" t="s">
        <v>5</v>
      </c>
      <c r="C535" s="3">
        <v>42948</v>
      </c>
      <c r="D535">
        <v>385.11</v>
      </c>
    </row>
    <row r="536" spans="1:4" x14ac:dyDescent="0.25">
      <c r="A536" t="s">
        <v>10</v>
      </c>
      <c r="B536" t="s">
        <v>5</v>
      </c>
      <c r="C536" s="3">
        <v>42979</v>
      </c>
      <c r="D536">
        <v>376.46</v>
      </c>
    </row>
    <row r="537" spans="1:4" x14ac:dyDescent="0.25">
      <c r="A537" t="s">
        <v>10</v>
      </c>
      <c r="B537" t="s">
        <v>5</v>
      </c>
      <c r="C537" s="3">
        <v>43009</v>
      </c>
      <c r="D537">
        <v>388.06</v>
      </c>
    </row>
    <row r="538" spans="1:4" x14ac:dyDescent="0.25">
      <c r="A538" t="s">
        <v>10</v>
      </c>
      <c r="B538" t="s">
        <v>5</v>
      </c>
      <c r="C538" s="3">
        <v>43040</v>
      </c>
      <c r="D538">
        <v>381.26</v>
      </c>
    </row>
    <row r="539" spans="1:4" x14ac:dyDescent="0.25">
      <c r="A539" t="s">
        <v>10</v>
      </c>
      <c r="B539" t="s">
        <v>5</v>
      </c>
      <c r="C539" s="3">
        <v>43070</v>
      </c>
      <c r="D539">
        <v>374.94</v>
      </c>
    </row>
    <row r="540" spans="1:4" x14ac:dyDescent="0.25">
      <c r="A540" t="s">
        <v>10</v>
      </c>
      <c r="B540" t="s">
        <v>5</v>
      </c>
      <c r="C540" s="3">
        <v>43101</v>
      </c>
      <c r="D540">
        <v>399.72</v>
      </c>
    </row>
    <row r="541" spans="1:4" x14ac:dyDescent="0.25">
      <c r="A541" t="s">
        <v>10</v>
      </c>
      <c r="B541" t="s">
        <v>5</v>
      </c>
      <c r="C541" s="3">
        <v>43132</v>
      </c>
      <c r="D541">
        <v>392.91</v>
      </c>
    </row>
    <row r="542" spans="1:4" x14ac:dyDescent="0.25">
      <c r="A542" t="s">
        <v>10</v>
      </c>
      <c r="B542" t="s">
        <v>5</v>
      </c>
      <c r="C542" s="3">
        <v>43160</v>
      </c>
      <c r="D542">
        <v>401.65</v>
      </c>
    </row>
    <row r="543" spans="1:4" x14ac:dyDescent="0.25">
      <c r="A543" t="s">
        <v>10</v>
      </c>
      <c r="B543" t="s">
        <v>5</v>
      </c>
      <c r="C543" s="3">
        <v>43191</v>
      </c>
      <c r="D543">
        <v>394.07</v>
      </c>
    </row>
    <row r="544" spans="1:4" x14ac:dyDescent="0.25">
      <c r="A544" t="s">
        <v>10</v>
      </c>
      <c r="B544" t="s">
        <v>5</v>
      </c>
      <c r="C544" s="3">
        <v>43221</v>
      </c>
      <c r="D544">
        <v>397.17</v>
      </c>
    </row>
    <row r="545" spans="1:4" x14ac:dyDescent="0.25">
      <c r="A545" t="s">
        <v>10</v>
      </c>
      <c r="B545" t="s">
        <v>5</v>
      </c>
      <c r="C545" s="3">
        <v>43252</v>
      </c>
      <c r="D545">
        <v>412.44</v>
      </c>
    </row>
    <row r="546" spans="1:4" x14ac:dyDescent="0.25">
      <c r="A546" t="s">
        <v>10</v>
      </c>
      <c r="B546" t="s">
        <v>5</v>
      </c>
      <c r="C546" s="3">
        <v>43282</v>
      </c>
      <c r="D546">
        <v>391.32</v>
      </c>
    </row>
    <row r="547" spans="1:4" x14ac:dyDescent="0.25">
      <c r="A547" t="s">
        <v>10</v>
      </c>
      <c r="B547" t="s">
        <v>5</v>
      </c>
      <c r="C547" s="3">
        <v>43313</v>
      </c>
      <c r="D547">
        <v>389.15</v>
      </c>
    </row>
    <row r="548" spans="1:4" x14ac:dyDescent="0.25">
      <c r="A548" t="s">
        <v>10</v>
      </c>
      <c r="B548" t="s">
        <v>5</v>
      </c>
      <c r="C548" s="3">
        <v>43344</v>
      </c>
      <c r="D548">
        <v>387.39</v>
      </c>
    </row>
    <row r="549" spans="1:4" x14ac:dyDescent="0.25">
      <c r="A549" t="s">
        <v>10</v>
      </c>
      <c r="B549" t="s">
        <v>5</v>
      </c>
      <c r="C549" s="3">
        <v>43374</v>
      </c>
      <c r="D549">
        <v>406.42</v>
      </c>
    </row>
    <row r="550" spans="1:4" x14ac:dyDescent="0.25">
      <c r="A550" t="s">
        <v>10</v>
      </c>
      <c r="B550" t="s">
        <v>5</v>
      </c>
      <c r="C550" s="3">
        <v>43405</v>
      </c>
      <c r="D550">
        <v>416.41</v>
      </c>
    </row>
    <row r="551" spans="1:4" x14ac:dyDescent="0.25">
      <c r="A551" t="s">
        <v>10</v>
      </c>
      <c r="B551" t="s">
        <v>5</v>
      </c>
      <c r="C551" s="3">
        <v>43435</v>
      </c>
      <c r="D551">
        <v>419.05</v>
      </c>
    </row>
    <row r="552" spans="1:4" x14ac:dyDescent="0.25">
      <c r="A552" t="s">
        <v>10</v>
      </c>
      <c r="B552" t="s">
        <v>5</v>
      </c>
      <c r="C552" s="3">
        <v>43466</v>
      </c>
      <c r="D552">
        <v>401.63</v>
      </c>
    </row>
    <row r="553" spans="1:4" x14ac:dyDescent="0.25">
      <c r="A553" t="s">
        <v>10</v>
      </c>
      <c r="B553" t="s">
        <v>5</v>
      </c>
      <c r="C553" s="3">
        <v>43497</v>
      </c>
      <c r="D553">
        <v>414.03</v>
      </c>
    </row>
    <row r="554" spans="1:4" x14ac:dyDescent="0.25">
      <c r="A554" t="s">
        <v>10</v>
      </c>
      <c r="B554" t="s">
        <v>5</v>
      </c>
      <c r="C554" s="3">
        <v>43525</v>
      </c>
      <c r="D554">
        <v>443.86</v>
      </c>
    </row>
    <row r="555" spans="1:4" x14ac:dyDescent="0.25">
      <c r="A555" t="s">
        <v>10</v>
      </c>
      <c r="B555" t="s">
        <v>5</v>
      </c>
      <c r="C555" s="3">
        <v>43556</v>
      </c>
      <c r="D555">
        <v>461.91</v>
      </c>
    </row>
    <row r="556" spans="1:4" x14ac:dyDescent="0.25">
      <c r="A556" t="s">
        <v>10</v>
      </c>
      <c r="B556" t="s">
        <v>5</v>
      </c>
      <c r="C556" s="3">
        <v>43586</v>
      </c>
      <c r="D556">
        <v>451.38</v>
      </c>
    </row>
    <row r="557" spans="1:4" x14ac:dyDescent="0.25">
      <c r="A557" t="s">
        <v>10</v>
      </c>
      <c r="B557" t="s">
        <v>5</v>
      </c>
      <c r="C557" s="3">
        <v>43617</v>
      </c>
      <c r="D557">
        <v>446.54</v>
      </c>
    </row>
    <row r="558" spans="1:4" x14ac:dyDescent="0.25">
      <c r="A558" t="s">
        <v>10</v>
      </c>
      <c r="B558" t="s">
        <v>5</v>
      </c>
      <c r="C558" s="3">
        <v>43647</v>
      </c>
      <c r="D558">
        <v>443.68</v>
      </c>
    </row>
    <row r="559" spans="1:4" x14ac:dyDescent="0.25">
      <c r="A559" t="s">
        <v>10</v>
      </c>
      <c r="B559" t="s">
        <v>5</v>
      </c>
      <c r="C559" s="3">
        <v>43678</v>
      </c>
      <c r="D559">
        <v>441.28</v>
      </c>
    </row>
    <row r="560" spans="1:4" x14ac:dyDescent="0.25">
      <c r="A560" t="s">
        <v>10</v>
      </c>
      <c r="B560" t="s">
        <v>5</v>
      </c>
      <c r="C560" s="3">
        <v>43709</v>
      </c>
      <c r="D560">
        <v>424.81</v>
      </c>
    </row>
    <row r="561" spans="1:4" x14ac:dyDescent="0.25">
      <c r="A561" t="s">
        <v>10</v>
      </c>
      <c r="B561" t="s">
        <v>5</v>
      </c>
      <c r="C561" s="3">
        <v>43739</v>
      </c>
      <c r="D561">
        <v>421.86</v>
      </c>
    </row>
    <row r="562" spans="1:4" x14ac:dyDescent="0.25">
      <c r="A562" t="s">
        <v>10</v>
      </c>
      <c r="B562" t="s">
        <v>5</v>
      </c>
      <c r="C562" s="3">
        <v>43770</v>
      </c>
      <c r="D562">
        <v>413.63</v>
      </c>
    </row>
    <row r="563" spans="1:4" x14ac:dyDescent="0.25">
      <c r="A563" t="s">
        <v>10</v>
      </c>
      <c r="B563" t="s">
        <v>5</v>
      </c>
      <c r="C563" s="3">
        <v>43800</v>
      </c>
      <c r="D563">
        <v>458.88</v>
      </c>
    </row>
    <row r="564" spans="1:4" x14ac:dyDescent="0.25">
      <c r="A564" t="s">
        <v>10</v>
      </c>
      <c r="B564" t="s">
        <v>5</v>
      </c>
      <c r="C564" s="3">
        <v>43831</v>
      </c>
      <c r="D564">
        <v>452.32</v>
      </c>
    </row>
    <row r="565" spans="1:4" x14ac:dyDescent="0.25">
      <c r="A565" t="s">
        <v>10</v>
      </c>
      <c r="B565" t="s">
        <v>5</v>
      </c>
      <c r="C565" s="3">
        <v>43862</v>
      </c>
      <c r="D565">
        <v>447.91</v>
      </c>
    </row>
    <row r="566" spans="1:4" x14ac:dyDescent="0.25">
      <c r="A566" t="s">
        <v>10</v>
      </c>
      <c r="B566" t="s">
        <v>5</v>
      </c>
      <c r="C566" s="3">
        <v>43891</v>
      </c>
      <c r="D566">
        <v>465.47</v>
      </c>
    </row>
    <row r="567" spans="1:4" x14ac:dyDescent="0.25">
      <c r="A567" t="s">
        <v>10</v>
      </c>
      <c r="B567" t="s">
        <v>5</v>
      </c>
      <c r="C567" s="3">
        <v>43922</v>
      </c>
      <c r="D567">
        <v>511.23</v>
      </c>
    </row>
    <row r="568" spans="1:4" x14ac:dyDescent="0.25">
      <c r="A568" t="s">
        <v>10</v>
      </c>
      <c r="B568" t="s">
        <v>5</v>
      </c>
      <c r="C568" s="3">
        <v>43952</v>
      </c>
      <c r="D568">
        <v>531.27</v>
      </c>
    </row>
    <row r="569" spans="1:4" x14ac:dyDescent="0.25">
      <c r="A569" t="s">
        <v>10</v>
      </c>
      <c r="B569" t="s">
        <v>5</v>
      </c>
      <c r="C569" s="3">
        <v>43983</v>
      </c>
      <c r="D569">
        <v>506.04</v>
      </c>
    </row>
    <row r="570" spans="1:4" x14ac:dyDescent="0.25">
      <c r="A570" t="s">
        <v>10</v>
      </c>
      <c r="B570" t="s">
        <v>5</v>
      </c>
      <c r="C570" s="3">
        <v>44013</v>
      </c>
      <c r="D570">
        <v>526.14</v>
      </c>
    </row>
    <row r="571" spans="1:4" x14ac:dyDescent="0.25">
      <c r="A571" t="s">
        <v>10</v>
      </c>
      <c r="B571" t="s">
        <v>5</v>
      </c>
      <c r="C571" s="3">
        <v>44044</v>
      </c>
      <c r="D571">
        <v>505.54</v>
      </c>
    </row>
    <row r="572" spans="1:4" x14ac:dyDescent="0.25">
      <c r="A572" t="s">
        <v>10</v>
      </c>
      <c r="B572" t="s">
        <v>5</v>
      </c>
      <c r="C572" s="3">
        <v>44075</v>
      </c>
      <c r="D572">
        <v>524.25</v>
      </c>
    </row>
    <row r="573" spans="1:4" x14ac:dyDescent="0.25">
      <c r="A573" t="s">
        <v>10</v>
      </c>
      <c r="B573" t="s">
        <v>5</v>
      </c>
      <c r="C573" s="3">
        <v>44105</v>
      </c>
      <c r="D573">
        <v>521.12</v>
      </c>
    </row>
    <row r="574" spans="1:4" x14ac:dyDescent="0.25">
      <c r="A574" t="s">
        <v>10</v>
      </c>
      <c r="B574" t="s">
        <v>5</v>
      </c>
      <c r="C574" s="3">
        <v>44136</v>
      </c>
      <c r="D574">
        <v>547.29</v>
      </c>
    </row>
    <row r="575" spans="1:4" x14ac:dyDescent="0.25">
      <c r="A575" t="s">
        <v>10</v>
      </c>
      <c r="B575" t="s">
        <v>5</v>
      </c>
      <c r="C575" s="3">
        <v>44166</v>
      </c>
      <c r="D575">
        <v>540.36</v>
      </c>
    </row>
    <row r="576" spans="1:4" x14ac:dyDescent="0.25">
      <c r="A576" t="s">
        <v>10</v>
      </c>
      <c r="B576" t="s">
        <v>5</v>
      </c>
      <c r="C576" s="3">
        <v>44197</v>
      </c>
      <c r="D576">
        <v>559.73</v>
      </c>
    </row>
    <row r="577" spans="1:4" x14ac:dyDescent="0.25">
      <c r="A577" t="s">
        <v>10</v>
      </c>
      <c r="B577" t="s">
        <v>5</v>
      </c>
      <c r="C577" s="3">
        <v>44228</v>
      </c>
      <c r="D577">
        <v>572.77</v>
      </c>
    </row>
    <row r="578" spans="1:4" x14ac:dyDescent="0.25">
      <c r="A578" t="s">
        <v>10</v>
      </c>
      <c r="B578" t="s">
        <v>5</v>
      </c>
      <c r="C578" s="3">
        <v>44256</v>
      </c>
      <c r="D578">
        <v>577.16999999999996</v>
      </c>
    </row>
    <row r="579" spans="1:4" x14ac:dyDescent="0.25">
      <c r="A579" t="s">
        <v>10</v>
      </c>
      <c r="B579" t="s">
        <v>5</v>
      </c>
      <c r="C579" s="3">
        <v>44287</v>
      </c>
      <c r="D579">
        <v>583.61</v>
      </c>
    </row>
    <row r="580" spans="1:4" x14ac:dyDescent="0.25">
      <c r="A580" t="s">
        <v>10</v>
      </c>
      <c r="B580" t="s">
        <v>5</v>
      </c>
      <c r="C580" s="3">
        <v>44317</v>
      </c>
      <c r="D580">
        <v>608.89</v>
      </c>
    </row>
    <row r="581" spans="1:4" x14ac:dyDescent="0.25">
      <c r="A581" t="s">
        <v>10</v>
      </c>
      <c r="B581" t="s">
        <v>5</v>
      </c>
      <c r="C581" s="3">
        <v>44348</v>
      </c>
      <c r="D581">
        <v>618.57000000000005</v>
      </c>
    </row>
    <row r="582" spans="1:4" x14ac:dyDescent="0.25">
      <c r="A582" t="s">
        <v>10</v>
      </c>
      <c r="B582" t="s">
        <v>5</v>
      </c>
      <c r="C582" s="3">
        <v>44378</v>
      </c>
      <c r="D582">
        <v>619.83000000000004</v>
      </c>
    </row>
    <row r="583" spans="1:4" x14ac:dyDescent="0.25">
      <c r="A583" t="s">
        <v>10</v>
      </c>
      <c r="B583" t="s">
        <v>5</v>
      </c>
      <c r="C583" s="3">
        <v>44409</v>
      </c>
      <c r="D583">
        <v>600.47</v>
      </c>
    </row>
    <row r="584" spans="1:4" x14ac:dyDescent="0.25">
      <c r="A584" t="s">
        <v>10</v>
      </c>
      <c r="B584" t="s">
        <v>5</v>
      </c>
      <c r="C584" s="3">
        <v>44440</v>
      </c>
      <c r="D584">
        <v>610.85</v>
      </c>
    </row>
    <row r="585" spans="1:4" x14ac:dyDescent="0.25">
      <c r="A585" t="s">
        <v>10</v>
      </c>
      <c r="B585" t="s">
        <v>5</v>
      </c>
      <c r="C585" s="3">
        <v>44470</v>
      </c>
      <c r="D585">
        <v>639.89</v>
      </c>
    </row>
    <row r="586" spans="1:4" x14ac:dyDescent="0.25">
      <c r="A586" t="s">
        <v>10</v>
      </c>
      <c r="B586" t="s">
        <v>5</v>
      </c>
      <c r="C586" s="3">
        <v>44501</v>
      </c>
      <c r="D586">
        <v>638.96</v>
      </c>
    </row>
    <row r="587" spans="1:4" x14ac:dyDescent="0.25">
      <c r="A587" t="s">
        <v>10</v>
      </c>
      <c r="B587" t="s">
        <v>5</v>
      </c>
      <c r="C587" s="3">
        <v>44531</v>
      </c>
      <c r="D587">
        <v>628.46</v>
      </c>
    </row>
    <row r="588" spans="1:4" x14ac:dyDescent="0.25">
      <c r="A588" t="s">
        <v>10</v>
      </c>
      <c r="B588" t="s">
        <v>5</v>
      </c>
      <c r="C588" s="3">
        <v>44562</v>
      </c>
      <c r="D588">
        <v>636.57000000000005</v>
      </c>
    </row>
    <row r="589" spans="1:4" x14ac:dyDescent="0.25">
      <c r="A589" t="s">
        <v>10</v>
      </c>
      <c r="B589" t="s">
        <v>5</v>
      </c>
      <c r="C589" s="3">
        <v>44593</v>
      </c>
      <c r="D589">
        <v>652.9</v>
      </c>
    </row>
    <row r="590" spans="1:4" x14ac:dyDescent="0.25">
      <c r="A590" t="s">
        <v>10</v>
      </c>
      <c r="B590" t="s">
        <v>5</v>
      </c>
      <c r="C590" s="3">
        <v>44621</v>
      </c>
      <c r="D590">
        <v>701.59</v>
      </c>
    </row>
    <row r="591" spans="1:4" x14ac:dyDescent="0.25">
      <c r="A591" t="s">
        <v>10</v>
      </c>
      <c r="B591" t="s">
        <v>5</v>
      </c>
      <c r="C591" s="3">
        <v>44652</v>
      </c>
      <c r="D591">
        <v>739.28</v>
      </c>
    </row>
    <row r="592" spans="1:4" x14ac:dyDescent="0.25">
      <c r="A592" t="s">
        <v>10</v>
      </c>
      <c r="B592" t="s">
        <v>5</v>
      </c>
      <c r="C592" s="3">
        <v>44682</v>
      </c>
      <c r="D592">
        <v>713.68</v>
      </c>
    </row>
    <row r="593" spans="1:4" x14ac:dyDescent="0.25">
      <c r="A593" t="s">
        <v>10</v>
      </c>
      <c r="B593" t="s">
        <v>5</v>
      </c>
      <c r="C593" s="3">
        <v>44713</v>
      </c>
      <c r="D593">
        <v>701.26</v>
      </c>
    </row>
    <row r="594" spans="1:4" x14ac:dyDescent="0.25">
      <c r="A594" t="s">
        <v>10</v>
      </c>
      <c r="B594" t="s">
        <v>5</v>
      </c>
      <c r="C594" s="3">
        <v>44743</v>
      </c>
      <c r="D594">
        <v>688.78</v>
      </c>
    </row>
    <row r="595" spans="1:4" x14ac:dyDescent="0.25">
      <c r="A595" t="s">
        <v>10</v>
      </c>
      <c r="B595" t="s">
        <v>5</v>
      </c>
      <c r="C595" s="3">
        <v>44774</v>
      </c>
      <c r="D595">
        <v>685.69</v>
      </c>
    </row>
    <row r="596" spans="1:4" x14ac:dyDescent="0.25">
      <c r="A596" t="s">
        <v>10</v>
      </c>
      <c r="B596" t="s">
        <v>5</v>
      </c>
      <c r="C596" s="3">
        <v>44805</v>
      </c>
      <c r="D596">
        <v>678.73</v>
      </c>
    </row>
    <row r="597" spans="1:4" x14ac:dyDescent="0.25">
      <c r="A597" t="s">
        <v>10</v>
      </c>
      <c r="B597" t="s">
        <v>5</v>
      </c>
      <c r="C597" s="3">
        <v>44835</v>
      </c>
      <c r="D597">
        <v>696.31</v>
      </c>
    </row>
    <row r="598" spans="1:4" x14ac:dyDescent="0.25">
      <c r="A598" t="s">
        <v>10</v>
      </c>
      <c r="B598" t="s">
        <v>5</v>
      </c>
      <c r="C598" s="3">
        <v>44866</v>
      </c>
      <c r="D598">
        <v>709.84</v>
      </c>
    </row>
    <row r="599" spans="1:4" x14ac:dyDescent="0.25">
      <c r="A599" t="s">
        <v>10</v>
      </c>
      <c r="B599" t="s">
        <v>5</v>
      </c>
      <c r="C599" s="3">
        <v>44896</v>
      </c>
      <c r="D599">
        <v>698.66</v>
      </c>
    </row>
    <row r="600" spans="1:4" x14ac:dyDescent="0.25">
      <c r="A600" t="s">
        <v>10</v>
      </c>
      <c r="B600" t="s">
        <v>5</v>
      </c>
      <c r="C600" s="3">
        <v>44927</v>
      </c>
      <c r="D600">
        <v>695.18</v>
      </c>
    </row>
    <row r="601" spans="1:4" x14ac:dyDescent="0.25">
      <c r="A601" t="s">
        <v>10</v>
      </c>
      <c r="B601" t="s">
        <v>5</v>
      </c>
      <c r="C601" s="3">
        <v>44958</v>
      </c>
      <c r="D601">
        <v>678.9</v>
      </c>
    </row>
    <row r="602" spans="1:4" x14ac:dyDescent="0.25">
      <c r="A602" t="s">
        <v>10</v>
      </c>
      <c r="B602" t="s">
        <v>5</v>
      </c>
      <c r="C602" s="3">
        <v>44986</v>
      </c>
      <c r="D602">
        <v>679.76</v>
      </c>
    </row>
    <row r="603" spans="1:4" x14ac:dyDescent="0.25">
      <c r="A603" t="s">
        <v>10</v>
      </c>
      <c r="B603" t="s">
        <v>5</v>
      </c>
      <c r="C603" s="3">
        <v>45017</v>
      </c>
      <c r="D603">
        <v>694.05</v>
      </c>
    </row>
    <row r="604" spans="1:4" x14ac:dyDescent="0.25">
      <c r="A604" t="s">
        <v>10</v>
      </c>
      <c r="B604" t="s">
        <v>5</v>
      </c>
      <c r="C604" s="3">
        <v>45047</v>
      </c>
      <c r="D604">
        <v>703.83</v>
      </c>
    </row>
    <row r="605" spans="1:4" x14ac:dyDescent="0.25">
      <c r="A605" t="s">
        <v>10</v>
      </c>
      <c r="B605" t="s">
        <v>5</v>
      </c>
      <c r="C605" s="3">
        <v>45078</v>
      </c>
      <c r="D605">
        <v>701.22</v>
      </c>
    </row>
    <row r="606" spans="1:4" x14ac:dyDescent="0.25">
      <c r="A606" t="s">
        <v>10</v>
      </c>
      <c r="B606" t="s">
        <v>5</v>
      </c>
      <c r="C606" s="3">
        <v>45108</v>
      </c>
      <c r="D606">
        <v>690.31</v>
      </c>
    </row>
    <row r="607" spans="1:4" x14ac:dyDescent="0.25">
      <c r="A607" t="s">
        <v>10</v>
      </c>
      <c r="B607" t="s">
        <v>5</v>
      </c>
      <c r="C607" s="3">
        <v>45139</v>
      </c>
      <c r="D607">
        <v>685.13</v>
      </c>
    </row>
    <row r="608" spans="1:4" x14ac:dyDescent="0.25">
      <c r="A608" t="s">
        <v>10</v>
      </c>
      <c r="B608" t="s">
        <v>5</v>
      </c>
      <c r="C608" s="3">
        <v>45170</v>
      </c>
      <c r="D608">
        <v>681.23</v>
      </c>
    </row>
    <row r="609" spans="1:4" x14ac:dyDescent="0.25">
      <c r="A609" t="s">
        <v>10</v>
      </c>
      <c r="B609" t="s">
        <v>5</v>
      </c>
      <c r="C609" s="3">
        <v>45200</v>
      </c>
      <c r="D609">
        <v>675.01</v>
      </c>
    </row>
    <row r="610" spans="1:4" x14ac:dyDescent="0.25">
      <c r="A610" t="s">
        <v>10</v>
      </c>
      <c r="B610" t="s">
        <v>5</v>
      </c>
      <c r="C610" s="3">
        <v>45231</v>
      </c>
      <c r="D610">
        <v>683.44</v>
      </c>
    </row>
    <row r="611" spans="1:4" x14ac:dyDescent="0.25">
      <c r="A611" t="s">
        <v>10</v>
      </c>
      <c r="B611" t="s">
        <v>5</v>
      </c>
      <c r="C611" s="3">
        <v>45261</v>
      </c>
      <c r="D611">
        <v>697.22</v>
      </c>
    </row>
    <row r="612" spans="1:4" x14ac:dyDescent="0.25">
      <c r="A612" t="s">
        <v>10</v>
      </c>
      <c r="B612" t="s">
        <v>5</v>
      </c>
      <c r="C612" s="3">
        <v>45292</v>
      </c>
      <c r="D612">
        <v>726.23</v>
      </c>
    </row>
    <row r="613" spans="1:4" x14ac:dyDescent="0.25">
      <c r="A613" t="s">
        <v>10</v>
      </c>
      <c r="B613" t="s">
        <v>5</v>
      </c>
      <c r="C613" s="3">
        <v>45323</v>
      </c>
      <c r="D613">
        <v>731.5</v>
      </c>
    </row>
    <row r="614" spans="1:4" x14ac:dyDescent="0.25">
      <c r="A614" t="s">
        <v>10</v>
      </c>
      <c r="B614" t="s">
        <v>5</v>
      </c>
      <c r="C614" s="3">
        <v>45352</v>
      </c>
      <c r="D614">
        <v>728.06</v>
      </c>
    </row>
    <row r="615" spans="1:4" x14ac:dyDescent="0.25">
      <c r="A615" t="s">
        <v>10</v>
      </c>
      <c r="B615" t="s">
        <v>5</v>
      </c>
      <c r="C615" s="3">
        <v>45383</v>
      </c>
      <c r="D615">
        <v>726.64</v>
      </c>
    </row>
    <row r="616" spans="1:4" x14ac:dyDescent="0.25">
      <c r="A616" t="s">
        <v>10</v>
      </c>
      <c r="B616" t="s">
        <v>5</v>
      </c>
      <c r="C616" s="3">
        <v>45413</v>
      </c>
      <c r="D616">
        <v>741.46</v>
      </c>
    </row>
    <row r="617" spans="1:4" x14ac:dyDescent="0.25">
      <c r="A617" t="s">
        <v>10</v>
      </c>
      <c r="B617" t="s">
        <v>5</v>
      </c>
      <c r="C617" s="3">
        <v>45444</v>
      </c>
      <c r="D617">
        <v>754.91</v>
      </c>
    </row>
    <row r="618" spans="1:4" x14ac:dyDescent="0.25">
      <c r="A618" t="s">
        <v>10</v>
      </c>
      <c r="B618" t="s">
        <v>5</v>
      </c>
      <c r="C618" s="3">
        <v>45474</v>
      </c>
      <c r="D618">
        <v>718.32</v>
      </c>
    </row>
    <row r="619" spans="1:4" x14ac:dyDescent="0.25">
      <c r="A619" t="s">
        <v>10</v>
      </c>
      <c r="B619" t="s">
        <v>5</v>
      </c>
      <c r="C619" s="3">
        <v>45505</v>
      </c>
      <c r="D619">
        <v>697.08</v>
      </c>
    </row>
    <row r="620" spans="1:4" x14ac:dyDescent="0.25">
      <c r="A620" t="s">
        <v>10</v>
      </c>
      <c r="B620" t="s">
        <v>5</v>
      </c>
      <c r="C620" s="3">
        <v>45536</v>
      </c>
      <c r="D620">
        <v>698.44</v>
      </c>
    </row>
    <row r="621" spans="1:4" x14ac:dyDescent="0.25">
      <c r="A621" t="s">
        <v>10</v>
      </c>
      <c r="B621" t="s">
        <v>5</v>
      </c>
      <c r="C621" s="3">
        <v>45566</v>
      </c>
      <c r="D621">
        <v>726.62</v>
      </c>
    </row>
    <row r="622" spans="1:4" x14ac:dyDescent="0.25">
      <c r="A622" t="s">
        <v>10</v>
      </c>
      <c r="B622" t="s">
        <v>5</v>
      </c>
      <c r="C622" s="3">
        <v>45597</v>
      </c>
      <c r="D622">
        <v>739.4</v>
      </c>
    </row>
    <row r="623" spans="1:4" x14ac:dyDescent="0.25">
      <c r="A623" t="s">
        <v>10</v>
      </c>
      <c r="B623" t="s">
        <v>5</v>
      </c>
      <c r="C623" s="3">
        <v>45627</v>
      </c>
      <c r="D623">
        <v>741.9</v>
      </c>
    </row>
    <row r="624" spans="1:4" x14ac:dyDescent="0.25">
      <c r="A624" t="s">
        <v>10</v>
      </c>
      <c r="B624" t="s">
        <v>5</v>
      </c>
      <c r="C624" s="3">
        <v>45658</v>
      </c>
      <c r="D624">
        <v>743.69</v>
      </c>
    </row>
    <row r="625" spans="1:4" x14ac:dyDescent="0.25">
      <c r="A625" t="s">
        <v>10</v>
      </c>
      <c r="B625" t="s">
        <v>5</v>
      </c>
      <c r="C625" s="3">
        <v>45689</v>
      </c>
      <c r="D625">
        <v>745.88</v>
      </c>
    </row>
    <row r="626" spans="1:4" x14ac:dyDescent="0.25">
      <c r="A626" t="s">
        <v>10</v>
      </c>
      <c r="B626" t="s">
        <v>5</v>
      </c>
      <c r="C626" s="3">
        <v>45717</v>
      </c>
      <c r="D626">
        <v>772.83</v>
      </c>
    </row>
    <row r="627" spans="1:4" x14ac:dyDescent="0.25">
      <c r="A627" t="s">
        <v>10</v>
      </c>
      <c r="B627" t="s">
        <v>5</v>
      </c>
      <c r="C627" s="3">
        <v>45748</v>
      </c>
      <c r="D627">
        <v>793.72</v>
      </c>
    </row>
    <row r="628" spans="1:4" x14ac:dyDescent="0.25">
      <c r="A628" t="s">
        <v>10</v>
      </c>
      <c r="B628" t="s">
        <v>5</v>
      </c>
      <c r="C628" s="3">
        <v>45778</v>
      </c>
      <c r="D628">
        <v>791.39</v>
      </c>
    </row>
    <row r="629" spans="1:4" x14ac:dyDescent="0.25">
      <c r="A629" t="s">
        <v>10</v>
      </c>
      <c r="B629" t="s">
        <v>5</v>
      </c>
      <c r="C629" s="3">
        <v>45809</v>
      </c>
      <c r="D629">
        <v>789.86</v>
      </c>
    </row>
    <row r="630" spans="1:4" x14ac:dyDescent="0.25">
      <c r="A630" t="s">
        <v>11</v>
      </c>
      <c r="B630" t="s">
        <v>5</v>
      </c>
      <c r="C630" s="3">
        <v>42005</v>
      </c>
      <c r="D630">
        <v>360.64</v>
      </c>
    </row>
    <row r="631" spans="1:4" x14ac:dyDescent="0.25">
      <c r="A631" t="s">
        <v>11</v>
      </c>
      <c r="B631" t="s">
        <v>5</v>
      </c>
      <c r="C631" s="3">
        <v>42036</v>
      </c>
      <c r="D631">
        <v>359.76</v>
      </c>
    </row>
    <row r="632" spans="1:4" x14ac:dyDescent="0.25">
      <c r="A632" t="s">
        <v>11</v>
      </c>
      <c r="B632" t="s">
        <v>5</v>
      </c>
      <c r="C632" s="3">
        <v>42064</v>
      </c>
      <c r="D632">
        <v>358.14</v>
      </c>
    </row>
    <row r="633" spans="1:4" x14ac:dyDescent="0.25">
      <c r="A633" t="s">
        <v>11</v>
      </c>
      <c r="B633" t="s">
        <v>5</v>
      </c>
      <c r="C633" s="3">
        <v>42095</v>
      </c>
      <c r="D633">
        <v>368.32</v>
      </c>
    </row>
    <row r="634" spans="1:4" x14ac:dyDescent="0.25">
      <c r="A634" t="s">
        <v>11</v>
      </c>
      <c r="B634" t="s">
        <v>5</v>
      </c>
      <c r="C634" s="3">
        <v>42125</v>
      </c>
      <c r="D634">
        <v>394.29</v>
      </c>
    </row>
    <row r="635" spans="1:4" x14ac:dyDescent="0.25">
      <c r="A635" t="s">
        <v>11</v>
      </c>
      <c r="B635" t="s">
        <v>5</v>
      </c>
      <c r="C635" s="3">
        <v>42156</v>
      </c>
      <c r="D635">
        <v>386.1</v>
      </c>
    </row>
    <row r="636" spans="1:4" x14ac:dyDescent="0.25">
      <c r="A636" t="s">
        <v>11</v>
      </c>
      <c r="B636" t="s">
        <v>5</v>
      </c>
      <c r="C636" s="3">
        <v>42186</v>
      </c>
      <c r="D636">
        <v>376.69</v>
      </c>
    </row>
    <row r="637" spans="1:4" x14ac:dyDescent="0.25">
      <c r="A637" t="s">
        <v>11</v>
      </c>
      <c r="B637" t="s">
        <v>5</v>
      </c>
      <c r="C637" s="3">
        <v>42217</v>
      </c>
      <c r="D637">
        <v>372.79</v>
      </c>
    </row>
    <row r="638" spans="1:4" x14ac:dyDescent="0.25">
      <c r="A638" t="s">
        <v>11</v>
      </c>
      <c r="B638" t="s">
        <v>5</v>
      </c>
      <c r="C638" s="3">
        <v>42248</v>
      </c>
      <c r="D638">
        <v>383.1</v>
      </c>
    </row>
    <row r="639" spans="1:4" x14ac:dyDescent="0.25">
      <c r="A639" t="s">
        <v>11</v>
      </c>
      <c r="B639" t="s">
        <v>5</v>
      </c>
      <c r="C639" s="3">
        <v>42278</v>
      </c>
      <c r="D639">
        <v>378.45</v>
      </c>
    </row>
    <row r="640" spans="1:4" x14ac:dyDescent="0.25">
      <c r="A640" t="s">
        <v>11</v>
      </c>
      <c r="B640" t="s">
        <v>5</v>
      </c>
      <c r="C640" s="3">
        <v>42309</v>
      </c>
      <c r="D640">
        <v>391.85</v>
      </c>
    </row>
    <row r="641" spans="1:4" x14ac:dyDescent="0.25">
      <c r="A641" t="s">
        <v>11</v>
      </c>
      <c r="B641" t="s">
        <v>5</v>
      </c>
      <c r="C641" s="3">
        <v>42339</v>
      </c>
      <c r="D641">
        <v>414.12</v>
      </c>
    </row>
    <row r="642" spans="1:4" x14ac:dyDescent="0.25">
      <c r="A642" t="s">
        <v>11</v>
      </c>
      <c r="B642" t="s">
        <v>5</v>
      </c>
      <c r="C642" s="3">
        <v>42370</v>
      </c>
      <c r="D642">
        <v>437.24</v>
      </c>
    </row>
    <row r="643" spans="1:4" x14ac:dyDescent="0.25">
      <c r="A643" t="s">
        <v>11</v>
      </c>
      <c r="B643" t="s">
        <v>5</v>
      </c>
      <c r="C643" s="3">
        <v>42401</v>
      </c>
      <c r="D643">
        <v>430.69</v>
      </c>
    </row>
    <row r="644" spans="1:4" x14ac:dyDescent="0.25">
      <c r="A644" t="s">
        <v>11</v>
      </c>
      <c r="B644" t="s">
        <v>5</v>
      </c>
      <c r="C644" s="3">
        <v>42430</v>
      </c>
      <c r="D644">
        <v>441.06</v>
      </c>
    </row>
    <row r="645" spans="1:4" x14ac:dyDescent="0.25">
      <c r="A645" t="s">
        <v>11</v>
      </c>
      <c r="B645" t="s">
        <v>5</v>
      </c>
      <c r="C645" s="3">
        <v>42461</v>
      </c>
      <c r="D645">
        <v>438.56</v>
      </c>
    </row>
    <row r="646" spans="1:4" x14ac:dyDescent="0.25">
      <c r="A646" t="s">
        <v>11</v>
      </c>
      <c r="B646" t="s">
        <v>5</v>
      </c>
      <c r="C646" s="3">
        <v>42491</v>
      </c>
      <c r="D646">
        <v>420.63</v>
      </c>
    </row>
    <row r="647" spans="1:4" x14ac:dyDescent="0.25">
      <c r="A647" t="s">
        <v>11</v>
      </c>
      <c r="B647" t="s">
        <v>5</v>
      </c>
      <c r="C647" s="3">
        <v>42522</v>
      </c>
      <c r="D647">
        <v>463.24</v>
      </c>
    </row>
    <row r="648" spans="1:4" x14ac:dyDescent="0.25">
      <c r="A648" t="s">
        <v>11</v>
      </c>
      <c r="B648" t="s">
        <v>5</v>
      </c>
      <c r="C648" s="3">
        <v>42552</v>
      </c>
      <c r="D648">
        <v>443.11</v>
      </c>
    </row>
    <row r="649" spans="1:4" x14ac:dyDescent="0.25">
      <c r="A649" t="s">
        <v>11</v>
      </c>
      <c r="B649" t="s">
        <v>5</v>
      </c>
      <c r="C649" s="3">
        <v>42583</v>
      </c>
      <c r="D649">
        <v>457.11</v>
      </c>
    </row>
    <row r="650" spans="1:4" x14ac:dyDescent="0.25">
      <c r="A650" t="s">
        <v>11</v>
      </c>
      <c r="B650" t="s">
        <v>5</v>
      </c>
      <c r="C650" s="3">
        <v>42614</v>
      </c>
      <c r="D650">
        <v>449.05</v>
      </c>
    </row>
    <row r="651" spans="1:4" x14ac:dyDescent="0.25">
      <c r="A651" t="s">
        <v>11</v>
      </c>
      <c r="B651" t="s">
        <v>5</v>
      </c>
      <c r="C651" s="3">
        <v>42644</v>
      </c>
      <c r="D651">
        <v>475.32</v>
      </c>
    </row>
    <row r="652" spans="1:4" x14ac:dyDescent="0.25">
      <c r="A652" t="s">
        <v>11</v>
      </c>
      <c r="B652" t="s">
        <v>5</v>
      </c>
      <c r="C652" s="3">
        <v>42675</v>
      </c>
      <c r="D652">
        <v>466.25</v>
      </c>
    </row>
    <row r="653" spans="1:4" x14ac:dyDescent="0.25">
      <c r="A653" t="s">
        <v>11</v>
      </c>
      <c r="B653" t="s">
        <v>5</v>
      </c>
      <c r="C653" s="3">
        <v>42705</v>
      </c>
      <c r="D653">
        <v>453.8</v>
      </c>
    </row>
    <row r="654" spans="1:4" x14ac:dyDescent="0.25">
      <c r="A654" t="s">
        <v>11</v>
      </c>
      <c r="B654" t="s">
        <v>5</v>
      </c>
      <c r="C654" s="3">
        <v>42736</v>
      </c>
      <c r="D654">
        <v>441.92</v>
      </c>
    </row>
    <row r="655" spans="1:4" x14ac:dyDescent="0.25">
      <c r="A655" t="s">
        <v>11</v>
      </c>
      <c r="B655" t="s">
        <v>5</v>
      </c>
      <c r="C655" s="3">
        <v>42767</v>
      </c>
      <c r="D655">
        <v>434.14</v>
      </c>
    </row>
    <row r="656" spans="1:4" x14ac:dyDescent="0.25">
      <c r="A656" t="s">
        <v>11</v>
      </c>
      <c r="B656" t="s">
        <v>5</v>
      </c>
      <c r="C656" s="3">
        <v>42795</v>
      </c>
      <c r="D656">
        <v>433.7</v>
      </c>
    </row>
    <row r="657" spans="1:4" x14ac:dyDescent="0.25">
      <c r="A657" t="s">
        <v>11</v>
      </c>
      <c r="B657" t="s">
        <v>5</v>
      </c>
      <c r="C657" s="3">
        <v>42826</v>
      </c>
      <c r="D657">
        <v>453.54</v>
      </c>
    </row>
    <row r="658" spans="1:4" x14ac:dyDescent="0.25">
      <c r="A658" t="s">
        <v>11</v>
      </c>
      <c r="B658" t="s">
        <v>5</v>
      </c>
      <c r="C658" s="3">
        <v>42856</v>
      </c>
      <c r="D658">
        <v>446.52</v>
      </c>
    </row>
    <row r="659" spans="1:4" x14ac:dyDescent="0.25">
      <c r="A659" t="s">
        <v>11</v>
      </c>
      <c r="B659" t="s">
        <v>5</v>
      </c>
      <c r="C659" s="3">
        <v>42887</v>
      </c>
      <c r="D659">
        <v>432.4</v>
      </c>
    </row>
    <row r="660" spans="1:4" x14ac:dyDescent="0.25">
      <c r="A660" t="s">
        <v>11</v>
      </c>
      <c r="B660" t="s">
        <v>5</v>
      </c>
      <c r="C660" s="3">
        <v>42917</v>
      </c>
      <c r="D660">
        <v>439.87</v>
      </c>
    </row>
    <row r="661" spans="1:4" x14ac:dyDescent="0.25">
      <c r="A661" t="s">
        <v>11</v>
      </c>
      <c r="B661" t="s">
        <v>5</v>
      </c>
      <c r="C661" s="3">
        <v>42948</v>
      </c>
      <c r="D661">
        <v>426.3</v>
      </c>
    </row>
    <row r="662" spans="1:4" x14ac:dyDescent="0.25">
      <c r="A662" t="s">
        <v>11</v>
      </c>
      <c r="B662" t="s">
        <v>5</v>
      </c>
      <c r="C662" s="3">
        <v>42979</v>
      </c>
      <c r="D662">
        <v>419.17</v>
      </c>
    </row>
    <row r="663" spans="1:4" x14ac:dyDescent="0.25">
      <c r="A663" t="s">
        <v>11</v>
      </c>
      <c r="B663" t="s">
        <v>5</v>
      </c>
      <c r="C663" s="3">
        <v>43009</v>
      </c>
      <c r="D663">
        <v>416.41</v>
      </c>
    </row>
    <row r="664" spans="1:4" x14ac:dyDescent="0.25">
      <c r="A664" t="s">
        <v>11</v>
      </c>
      <c r="B664" t="s">
        <v>5</v>
      </c>
      <c r="C664" s="3">
        <v>43040</v>
      </c>
      <c r="D664">
        <v>415</v>
      </c>
    </row>
    <row r="665" spans="1:4" x14ac:dyDescent="0.25">
      <c r="A665" t="s">
        <v>11</v>
      </c>
      <c r="B665" t="s">
        <v>5</v>
      </c>
      <c r="C665" s="3">
        <v>43070</v>
      </c>
      <c r="D665">
        <v>418.61</v>
      </c>
    </row>
    <row r="666" spans="1:4" x14ac:dyDescent="0.25">
      <c r="A666" t="s">
        <v>11</v>
      </c>
      <c r="B666" t="s">
        <v>5</v>
      </c>
      <c r="C666" s="3">
        <v>43101</v>
      </c>
      <c r="D666">
        <v>430.52</v>
      </c>
    </row>
    <row r="667" spans="1:4" x14ac:dyDescent="0.25">
      <c r="A667" t="s">
        <v>11</v>
      </c>
      <c r="B667" t="s">
        <v>5</v>
      </c>
      <c r="C667" s="3">
        <v>43132</v>
      </c>
      <c r="D667">
        <v>425.05</v>
      </c>
    </row>
    <row r="668" spans="1:4" x14ac:dyDescent="0.25">
      <c r="A668" t="s">
        <v>11</v>
      </c>
      <c r="B668" t="s">
        <v>5</v>
      </c>
      <c r="C668" s="3">
        <v>43160</v>
      </c>
      <c r="D668">
        <v>426.79</v>
      </c>
    </row>
    <row r="669" spans="1:4" x14ac:dyDescent="0.25">
      <c r="A669" t="s">
        <v>11</v>
      </c>
      <c r="B669" t="s">
        <v>5</v>
      </c>
      <c r="C669" s="3">
        <v>43191</v>
      </c>
      <c r="D669">
        <v>426.73</v>
      </c>
    </row>
    <row r="670" spans="1:4" x14ac:dyDescent="0.25">
      <c r="A670" t="s">
        <v>11</v>
      </c>
      <c r="B670" t="s">
        <v>5</v>
      </c>
      <c r="C670" s="3">
        <v>43221</v>
      </c>
      <c r="D670">
        <v>441.62</v>
      </c>
    </row>
    <row r="671" spans="1:4" x14ac:dyDescent="0.25">
      <c r="A671" t="s">
        <v>11</v>
      </c>
      <c r="B671" t="s">
        <v>5</v>
      </c>
      <c r="C671" s="3">
        <v>43252</v>
      </c>
      <c r="D671">
        <v>425.3</v>
      </c>
    </row>
    <row r="672" spans="1:4" x14ac:dyDescent="0.25">
      <c r="A672" t="s">
        <v>11</v>
      </c>
      <c r="B672" t="s">
        <v>5</v>
      </c>
      <c r="C672" s="3">
        <v>43282</v>
      </c>
      <c r="D672">
        <v>415.27</v>
      </c>
    </row>
    <row r="673" spans="1:4" x14ac:dyDescent="0.25">
      <c r="A673" t="s">
        <v>11</v>
      </c>
      <c r="B673" t="s">
        <v>5</v>
      </c>
      <c r="C673" s="3">
        <v>43313</v>
      </c>
      <c r="D673">
        <v>431.3</v>
      </c>
    </row>
    <row r="674" spans="1:4" x14ac:dyDescent="0.25">
      <c r="A674" t="s">
        <v>11</v>
      </c>
      <c r="B674" t="s">
        <v>5</v>
      </c>
      <c r="C674" s="3">
        <v>43344</v>
      </c>
      <c r="D674">
        <v>435.47</v>
      </c>
    </row>
    <row r="675" spans="1:4" x14ac:dyDescent="0.25">
      <c r="A675" t="s">
        <v>11</v>
      </c>
      <c r="B675" t="s">
        <v>5</v>
      </c>
      <c r="C675" s="3">
        <v>43374</v>
      </c>
      <c r="D675">
        <v>450.35</v>
      </c>
    </row>
    <row r="676" spans="1:4" x14ac:dyDescent="0.25">
      <c r="A676" t="s">
        <v>11</v>
      </c>
      <c r="B676" t="s">
        <v>5</v>
      </c>
      <c r="C676" s="3">
        <v>43405</v>
      </c>
      <c r="D676">
        <v>454.87</v>
      </c>
    </row>
    <row r="677" spans="1:4" x14ac:dyDescent="0.25">
      <c r="A677" t="s">
        <v>11</v>
      </c>
      <c r="B677" t="s">
        <v>5</v>
      </c>
      <c r="C677" s="3">
        <v>43435</v>
      </c>
      <c r="D677">
        <v>457.82</v>
      </c>
    </row>
    <row r="678" spans="1:4" x14ac:dyDescent="0.25">
      <c r="A678" t="s">
        <v>11</v>
      </c>
      <c r="B678" t="s">
        <v>5</v>
      </c>
      <c r="C678" s="3">
        <v>43466</v>
      </c>
      <c r="D678">
        <v>437.55</v>
      </c>
    </row>
    <row r="679" spans="1:4" x14ac:dyDescent="0.25">
      <c r="A679" t="s">
        <v>11</v>
      </c>
      <c r="B679" t="s">
        <v>5</v>
      </c>
      <c r="C679" s="3">
        <v>43497</v>
      </c>
      <c r="D679">
        <v>441.89</v>
      </c>
    </row>
    <row r="680" spans="1:4" x14ac:dyDescent="0.25">
      <c r="A680" t="s">
        <v>11</v>
      </c>
      <c r="B680" t="s">
        <v>5</v>
      </c>
      <c r="C680" s="3">
        <v>43525</v>
      </c>
      <c r="D680">
        <v>474.07</v>
      </c>
    </row>
    <row r="681" spans="1:4" x14ac:dyDescent="0.25">
      <c r="A681" t="s">
        <v>11</v>
      </c>
      <c r="B681" t="s">
        <v>5</v>
      </c>
      <c r="C681" s="3">
        <v>43556</v>
      </c>
      <c r="D681">
        <v>482.3</v>
      </c>
    </row>
    <row r="682" spans="1:4" x14ac:dyDescent="0.25">
      <c r="A682" t="s">
        <v>11</v>
      </c>
      <c r="B682" t="s">
        <v>5</v>
      </c>
      <c r="C682" s="3">
        <v>43586</v>
      </c>
      <c r="D682">
        <v>487.93</v>
      </c>
    </row>
    <row r="683" spans="1:4" x14ac:dyDescent="0.25">
      <c r="A683" t="s">
        <v>11</v>
      </c>
      <c r="B683" t="s">
        <v>5</v>
      </c>
      <c r="C683" s="3">
        <v>43617</v>
      </c>
      <c r="D683">
        <v>494.96</v>
      </c>
    </row>
    <row r="684" spans="1:4" x14ac:dyDescent="0.25">
      <c r="A684" t="s">
        <v>11</v>
      </c>
      <c r="B684" t="s">
        <v>5</v>
      </c>
      <c r="C684" s="3">
        <v>43647</v>
      </c>
      <c r="D684">
        <v>483.2</v>
      </c>
    </row>
    <row r="685" spans="1:4" x14ac:dyDescent="0.25">
      <c r="A685" t="s">
        <v>11</v>
      </c>
      <c r="B685" t="s">
        <v>5</v>
      </c>
      <c r="C685" s="3">
        <v>43678</v>
      </c>
      <c r="D685">
        <v>464.24</v>
      </c>
    </row>
    <row r="686" spans="1:4" x14ac:dyDescent="0.25">
      <c r="A686" t="s">
        <v>11</v>
      </c>
      <c r="B686" t="s">
        <v>5</v>
      </c>
      <c r="C686" s="3">
        <v>43709</v>
      </c>
      <c r="D686">
        <v>454.94</v>
      </c>
    </row>
    <row r="687" spans="1:4" x14ac:dyDescent="0.25">
      <c r="A687" t="s">
        <v>11</v>
      </c>
      <c r="B687" t="s">
        <v>5</v>
      </c>
      <c r="C687" s="3">
        <v>43739</v>
      </c>
      <c r="D687">
        <v>458.28</v>
      </c>
    </row>
    <row r="688" spans="1:4" x14ac:dyDescent="0.25">
      <c r="A688" t="s">
        <v>11</v>
      </c>
      <c r="B688" t="s">
        <v>5</v>
      </c>
      <c r="C688" s="3">
        <v>43770</v>
      </c>
      <c r="D688">
        <v>478.68</v>
      </c>
    </row>
    <row r="689" spans="1:4" x14ac:dyDescent="0.25">
      <c r="A689" t="s">
        <v>11</v>
      </c>
      <c r="B689" t="s">
        <v>5</v>
      </c>
      <c r="C689" s="3">
        <v>43800</v>
      </c>
      <c r="D689">
        <v>511.7</v>
      </c>
    </row>
    <row r="690" spans="1:4" x14ac:dyDescent="0.25">
      <c r="A690" t="s">
        <v>11</v>
      </c>
      <c r="B690" t="s">
        <v>5</v>
      </c>
      <c r="C690" s="3">
        <v>43831</v>
      </c>
      <c r="D690">
        <v>489.13</v>
      </c>
    </row>
    <row r="691" spans="1:4" x14ac:dyDescent="0.25">
      <c r="A691" t="s">
        <v>11</v>
      </c>
      <c r="B691" t="s">
        <v>5</v>
      </c>
      <c r="C691" s="3">
        <v>43862</v>
      </c>
      <c r="D691">
        <v>493.15</v>
      </c>
    </row>
    <row r="692" spans="1:4" x14ac:dyDescent="0.25">
      <c r="A692" t="s">
        <v>11</v>
      </c>
      <c r="B692" t="s">
        <v>5</v>
      </c>
      <c r="C692" s="3">
        <v>43891</v>
      </c>
      <c r="D692">
        <v>517.13</v>
      </c>
    </row>
    <row r="693" spans="1:4" x14ac:dyDescent="0.25">
      <c r="A693" t="s">
        <v>11</v>
      </c>
      <c r="B693" t="s">
        <v>5</v>
      </c>
      <c r="C693" s="3">
        <v>43922</v>
      </c>
      <c r="D693">
        <v>523.79999999999995</v>
      </c>
    </row>
    <row r="694" spans="1:4" x14ac:dyDescent="0.25">
      <c r="A694" t="s">
        <v>11</v>
      </c>
      <c r="B694" t="s">
        <v>5</v>
      </c>
      <c r="C694" s="3">
        <v>43952</v>
      </c>
      <c r="D694">
        <v>524.07000000000005</v>
      </c>
    </row>
    <row r="695" spans="1:4" x14ac:dyDescent="0.25">
      <c r="A695" t="s">
        <v>11</v>
      </c>
      <c r="B695" t="s">
        <v>5</v>
      </c>
      <c r="C695" s="3">
        <v>43983</v>
      </c>
      <c r="D695">
        <v>516.97</v>
      </c>
    </row>
    <row r="696" spans="1:4" x14ac:dyDescent="0.25">
      <c r="A696" t="s">
        <v>11</v>
      </c>
      <c r="B696" t="s">
        <v>5</v>
      </c>
      <c r="C696" s="3">
        <v>44013</v>
      </c>
      <c r="D696">
        <v>522.03</v>
      </c>
    </row>
    <row r="697" spans="1:4" x14ac:dyDescent="0.25">
      <c r="A697" t="s">
        <v>11</v>
      </c>
      <c r="B697" t="s">
        <v>5</v>
      </c>
      <c r="C697" s="3">
        <v>44044</v>
      </c>
      <c r="D697">
        <v>530.41999999999996</v>
      </c>
    </row>
    <row r="698" spans="1:4" x14ac:dyDescent="0.25">
      <c r="A698" t="s">
        <v>11</v>
      </c>
      <c r="B698" t="s">
        <v>5</v>
      </c>
      <c r="C698" s="3">
        <v>44075</v>
      </c>
      <c r="D698">
        <v>582.4</v>
      </c>
    </row>
    <row r="699" spans="1:4" x14ac:dyDescent="0.25">
      <c r="A699" t="s">
        <v>11</v>
      </c>
      <c r="B699" t="s">
        <v>5</v>
      </c>
      <c r="C699" s="3">
        <v>44105</v>
      </c>
      <c r="D699">
        <v>584.76</v>
      </c>
    </row>
    <row r="700" spans="1:4" x14ac:dyDescent="0.25">
      <c r="A700" t="s">
        <v>11</v>
      </c>
      <c r="B700" t="s">
        <v>5</v>
      </c>
      <c r="C700" s="3">
        <v>44136</v>
      </c>
      <c r="D700">
        <v>616.98</v>
      </c>
    </row>
    <row r="701" spans="1:4" x14ac:dyDescent="0.25">
      <c r="A701" t="s">
        <v>11</v>
      </c>
      <c r="B701" t="s">
        <v>5</v>
      </c>
      <c r="C701" s="3">
        <v>44166</v>
      </c>
      <c r="D701">
        <v>615.57000000000005</v>
      </c>
    </row>
    <row r="702" spans="1:4" x14ac:dyDescent="0.25">
      <c r="A702" t="s">
        <v>11</v>
      </c>
      <c r="B702" t="s">
        <v>5</v>
      </c>
      <c r="C702" s="3">
        <v>44197</v>
      </c>
      <c r="D702">
        <v>651.37</v>
      </c>
    </row>
    <row r="703" spans="1:4" x14ac:dyDescent="0.25">
      <c r="A703" t="s">
        <v>11</v>
      </c>
      <c r="B703" t="s">
        <v>5</v>
      </c>
      <c r="C703" s="3">
        <v>44228</v>
      </c>
      <c r="D703">
        <v>639.80999999999995</v>
      </c>
    </row>
    <row r="704" spans="1:4" x14ac:dyDescent="0.25">
      <c r="A704" t="s">
        <v>11</v>
      </c>
      <c r="B704" t="s">
        <v>5</v>
      </c>
      <c r="C704" s="3">
        <v>44256</v>
      </c>
      <c r="D704">
        <v>632.75</v>
      </c>
    </row>
    <row r="705" spans="1:4" x14ac:dyDescent="0.25">
      <c r="A705" t="s">
        <v>11</v>
      </c>
      <c r="B705" t="s">
        <v>5</v>
      </c>
      <c r="C705" s="3">
        <v>44287</v>
      </c>
      <c r="D705">
        <v>634.53</v>
      </c>
    </row>
    <row r="706" spans="1:4" x14ac:dyDescent="0.25">
      <c r="A706" t="s">
        <v>11</v>
      </c>
      <c r="B706" t="s">
        <v>5</v>
      </c>
      <c r="C706" s="3">
        <v>44317</v>
      </c>
      <c r="D706">
        <v>636.37</v>
      </c>
    </row>
    <row r="707" spans="1:4" x14ac:dyDescent="0.25">
      <c r="A707" t="s">
        <v>11</v>
      </c>
      <c r="B707" t="s">
        <v>5</v>
      </c>
      <c r="C707" s="3">
        <v>44348</v>
      </c>
      <c r="D707">
        <v>645.38</v>
      </c>
    </row>
    <row r="708" spans="1:4" x14ac:dyDescent="0.25">
      <c r="A708" t="s">
        <v>11</v>
      </c>
      <c r="B708" t="s">
        <v>5</v>
      </c>
      <c r="C708" s="3">
        <v>44378</v>
      </c>
      <c r="D708">
        <v>654.42999999999995</v>
      </c>
    </row>
    <row r="709" spans="1:4" x14ac:dyDescent="0.25">
      <c r="A709" t="s">
        <v>11</v>
      </c>
      <c r="B709" t="s">
        <v>5</v>
      </c>
      <c r="C709" s="3">
        <v>44409</v>
      </c>
      <c r="D709">
        <v>659</v>
      </c>
    </row>
    <row r="710" spans="1:4" x14ac:dyDescent="0.25">
      <c r="A710" t="s">
        <v>11</v>
      </c>
      <c r="B710" t="s">
        <v>5</v>
      </c>
      <c r="C710" s="3">
        <v>44440</v>
      </c>
      <c r="D710">
        <v>662.85</v>
      </c>
    </row>
    <row r="711" spans="1:4" x14ac:dyDescent="0.25">
      <c r="A711" t="s">
        <v>11</v>
      </c>
      <c r="B711" t="s">
        <v>5</v>
      </c>
      <c r="C711" s="3">
        <v>44470</v>
      </c>
      <c r="D711">
        <v>700.69</v>
      </c>
    </row>
    <row r="712" spans="1:4" x14ac:dyDescent="0.25">
      <c r="A712" t="s">
        <v>11</v>
      </c>
      <c r="B712" t="s">
        <v>5</v>
      </c>
      <c r="C712" s="3">
        <v>44501</v>
      </c>
      <c r="D712">
        <v>710.53</v>
      </c>
    </row>
    <row r="713" spans="1:4" x14ac:dyDescent="0.25">
      <c r="A713" t="s">
        <v>11</v>
      </c>
      <c r="B713" t="s">
        <v>5</v>
      </c>
      <c r="C713" s="3">
        <v>44531</v>
      </c>
      <c r="D713">
        <v>689.56</v>
      </c>
    </row>
    <row r="714" spans="1:4" x14ac:dyDescent="0.25">
      <c r="A714" t="s">
        <v>11</v>
      </c>
      <c r="B714" t="s">
        <v>5</v>
      </c>
      <c r="C714" s="3">
        <v>44562</v>
      </c>
      <c r="D714">
        <v>695.59</v>
      </c>
    </row>
    <row r="715" spans="1:4" x14ac:dyDescent="0.25">
      <c r="A715" t="s">
        <v>11</v>
      </c>
      <c r="B715" t="s">
        <v>5</v>
      </c>
      <c r="C715" s="3">
        <v>44593</v>
      </c>
      <c r="D715">
        <v>707.56</v>
      </c>
    </row>
    <row r="716" spans="1:4" x14ac:dyDescent="0.25">
      <c r="A716" t="s">
        <v>11</v>
      </c>
      <c r="B716" t="s">
        <v>5</v>
      </c>
      <c r="C716" s="3">
        <v>44621</v>
      </c>
      <c r="D716">
        <v>745.47</v>
      </c>
    </row>
    <row r="717" spans="1:4" x14ac:dyDescent="0.25">
      <c r="A717" t="s">
        <v>11</v>
      </c>
      <c r="B717" t="s">
        <v>5</v>
      </c>
      <c r="C717" s="3">
        <v>44652</v>
      </c>
      <c r="D717">
        <v>788</v>
      </c>
    </row>
    <row r="718" spans="1:4" x14ac:dyDescent="0.25">
      <c r="A718" t="s">
        <v>11</v>
      </c>
      <c r="B718" t="s">
        <v>5</v>
      </c>
      <c r="C718" s="3">
        <v>44682</v>
      </c>
      <c r="D718">
        <v>772.07</v>
      </c>
    </row>
    <row r="719" spans="1:4" x14ac:dyDescent="0.25">
      <c r="A719" t="s">
        <v>11</v>
      </c>
      <c r="B719" t="s">
        <v>5</v>
      </c>
      <c r="C719" s="3">
        <v>44713</v>
      </c>
      <c r="D719">
        <v>760.41</v>
      </c>
    </row>
    <row r="720" spans="1:4" x14ac:dyDescent="0.25">
      <c r="A720" t="s">
        <v>11</v>
      </c>
      <c r="B720" t="s">
        <v>5</v>
      </c>
      <c r="C720" s="3">
        <v>44743</v>
      </c>
      <c r="D720">
        <v>753.73</v>
      </c>
    </row>
    <row r="721" spans="1:4" x14ac:dyDescent="0.25">
      <c r="A721" t="s">
        <v>11</v>
      </c>
      <c r="B721" t="s">
        <v>5</v>
      </c>
      <c r="C721" s="3">
        <v>44774</v>
      </c>
      <c r="D721">
        <v>746.21</v>
      </c>
    </row>
    <row r="722" spans="1:4" x14ac:dyDescent="0.25">
      <c r="A722" t="s">
        <v>11</v>
      </c>
      <c r="B722" t="s">
        <v>5</v>
      </c>
      <c r="C722" s="3">
        <v>44805</v>
      </c>
      <c r="D722">
        <v>746.55</v>
      </c>
    </row>
    <row r="723" spans="1:4" x14ac:dyDescent="0.25">
      <c r="A723" t="s">
        <v>11</v>
      </c>
      <c r="B723" t="s">
        <v>5</v>
      </c>
      <c r="C723" s="3">
        <v>44835</v>
      </c>
      <c r="D723">
        <v>753.82</v>
      </c>
    </row>
    <row r="724" spans="1:4" x14ac:dyDescent="0.25">
      <c r="A724" t="s">
        <v>11</v>
      </c>
      <c r="B724" t="s">
        <v>5</v>
      </c>
      <c r="C724" s="3">
        <v>44866</v>
      </c>
      <c r="D724">
        <v>776.14</v>
      </c>
    </row>
    <row r="725" spans="1:4" x14ac:dyDescent="0.25">
      <c r="A725" t="s">
        <v>11</v>
      </c>
      <c r="B725" t="s">
        <v>5</v>
      </c>
      <c r="C725" s="3">
        <v>44896</v>
      </c>
      <c r="D725">
        <v>769.19</v>
      </c>
    </row>
    <row r="726" spans="1:4" x14ac:dyDescent="0.25">
      <c r="A726" t="s">
        <v>11</v>
      </c>
      <c r="B726" t="s">
        <v>5</v>
      </c>
      <c r="C726" s="3">
        <v>44927</v>
      </c>
      <c r="D726">
        <v>760.65</v>
      </c>
    </row>
    <row r="727" spans="1:4" x14ac:dyDescent="0.25">
      <c r="A727" t="s">
        <v>11</v>
      </c>
      <c r="B727" t="s">
        <v>5</v>
      </c>
      <c r="C727" s="3">
        <v>44958</v>
      </c>
      <c r="D727">
        <v>746.95</v>
      </c>
    </row>
    <row r="728" spans="1:4" x14ac:dyDescent="0.25">
      <c r="A728" t="s">
        <v>11</v>
      </c>
      <c r="B728" t="s">
        <v>5</v>
      </c>
      <c r="C728" s="3">
        <v>44986</v>
      </c>
      <c r="D728">
        <v>742.23</v>
      </c>
    </row>
    <row r="729" spans="1:4" x14ac:dyDescent="0.25">
      <c r="A729" t="s">
        <v>11</v>
      </c>
      <c r="B729" t="s">
        <v>5</v>
      </c>
      <c r="C729" s="3">
        <v>45017</v>
      </c>
      <c r="D729">
        <v>769.35</v>
      </c>
    </row>
    <row r="730" spans="1:4" x14ac:dyDescent="0.25">
      <c r="A730" t="s">
        <v>11</v>
      </c>
      <c r="B730" t="s">
        <v>5</v>
      </c>
      <c r="C730" s="3">
        <v>45047</v>
      </c>
      <c r="D730">
        <v>765.13</v>
      </c>
    </row>
    <row r="731" spans="1:4" x14ac:dyDescent="0.25">
      <c r="A731" t="s">
        <v>11</v>
      </c>
      <c r="B731" t="s">
        <v>5</v>
      </c>
      <c r="C731" s="3">
        <v>45078</v>
      </c>
      <c r="D731">
        <v>771.54</v>
      </c>
    </row>
    <row r="732" spans="1:4" x14ac:dyDescent="0.25">
      <c r="A732" t="s">
        <v>11</v>
      </c>
      <c r="B732" t="s">
        <v>5</v>
      </c>
      <c r="C732" s="3">
        <v>45108</v>
      </c>
      <c r="D732">
        <v>746.66</v>
      </c>
    </row>
    <row r="733" spans="1:4" x14ac:dyDescent="0.25">
      <c r="A733" t="s">
        <v>11</v>
      </c>
      <c r="B733" t="s">
        <v>5</v>
      </c>
      <c r="C733" s="3">
        <v>45139</v>
      </c>
      <c r="D733">
        <v>743.94</v>
      </c>
    </row>
    <row r="734" spans="1:4" x14ac:dyDescent="0.25">
      <c r="A734" t="s">
        <v>11</v>
      </c>
      <c r="B734" t="s">
        <v>5</v>
      </c>
      <c r="C734" s="3">
        <v>45170</v>
      </c>
      <c r="D734">
        <v>747.64</v>
      </c>
    </row>
    <row r="735" spans="1:4" x14ac:dyDescent="0.25">
      <c r="A735" t="s">
        <v>11</v>
      </c>
      <c r="B735" t="s">
        <v>5</v>
      </c>
      <c r="C735" s="3">
        <v>45200</v>
      </c>
      <c r="D735">
        <v>738.77</v>
      </c>
    </row>
    <row r="736" spans="1:4" x14ac:dyDescent="0.25">
      <c r="A736" t="s">
        <v>11</v>
      </c>
      <c r="B736" t="s">
        <v>5</v>
      </c>
      <c r="C736" s="3">
        <v>45231</v>
      </c>
      <c r="D736">
        <v>747.59</v>
      </c>
    </row>
    <row r="737" spans="1:4" x14ac:dyDescent="0.25">
      <c r="A737" t="s">
        <v>11</v>
      </c>
      <c r="B737" t="s">
        <v>5</v>
      </c>
      <c r="C737" s="3">
        <v>45261</v>
      </c>
      <c r="D737">
        <v>758.5</v>
      </c>
    </row>
    <row r="738" spans="1:4" x14ac:dyDescent="0.25">
      <c r="A738" t="s">
        <v>11</v>
      </c>
      <c r="B738" t="s">
        <v>5</v>
      </c>
      <c r="C738" s="3">
        <v>45292</v>
      </c>
      <c r="D738">
        <v>800.31</v>
      </c>
    </row>
    <row r="739" spans="1:4" x14ac:dyDescent="0.25">
      <c r="A739" t="s">
        <v>11</v>
      </c>
      <c r="B739" t="s">
        <v>5</v>
      </c>
      <c r="C739" s="3">
        <v>45323</v>
      </c>
      <c r="D739">
        <v>783.36</v>
      </c>
    </row>
    <row r="740" spans="1:4" x14ac:dyDescent="0.25">
      <c r="A740" t="s">
        <v>11</v>
      </c>
      <c r="B740" t="s">
        <v>5</v>
      </c>
      <c r="C740" s="3">
        <v>45352</v>
      </c>
      <c r="D740">
        <v>791.21</v>
      </c>
    </row>
    <row r="741" spans="1:4" x14ac:dyDescent="0.25">
      <c r="A741" t="s">
        <v>11</v>
      </c>
      <c r="B741" t="s">
        <v>5</v>
      </c>
      <c r="C741" s="3">
        <v>45383</v>
      </c>
      <c r="D741">
        <v>781.53</v>
      </c>
    </row>
    <row r="742" spans="1:4" x14ac:dyDescent="0.25">
      <c r="A742" t="s">
        <v>11</v>
      </c>
      <c r="B742" t="s">
        <v>5</v>
      </c>
      <c r="C742" s="3">
        <v>45413</v>
      </c>
      <c r="D742">
        <v>801.03</v>
      </c>
    </row>
    <row r="743" spans="1:4" x14ac:dyDescent="0.25">
      <c r="A743" t="s">
        <v>11</v>
      </c>
      <c r="B743" t="s">
        <v>5</v>
      </c>
      <c r="C743" s="3">
        <v>45444</v>
      </c>
      <c r="D743">
        <v>816.06</v>
      </c>
    </row>
    <row r="744" spans="1:4" x14ac:dyDescent="0.25">
      <c r="A744" t="s">
        <v>11</v>
      </c>
      <c r="B744" t="s">
        <v>5</v>
      </c>
      <c r="C744" s="3">
        <v>45474</v>
      </c>
      <c r="D744">
        <v>782.73</v>
      </c>
    </row>
    <row r="745" spans="1:4" x14ac:dyDescent="0.25">
      <c r="A745" t="s">
        <v>11</v>
      </c>
      <c r="B745" t="s">
        <v>5</v>
      </c>
      <c r="C745" s="3">
        <v>45505</v>
      </c>
      <c r="D745">
        <v>756.31</v>
      </c>
    </row>
    <row r="746" spans="1:4" x14ac:dyDescent="0.25">
      <c r="A746" t="s">
        <v>11</v>
      </c>
      <c r="B746" t="s">
        <v>5</v>
      </c>
      <c r="C746" s="3">
        <v>45536</v>
      </c>
      <c r="D746">
        <v>768.33</v>
      </c>
    </row>
    <row r="747" spans="1:4" x14ac:dyDescent="0.25">
      <c r="A747" t="s">
        <v>11</v>
      </c>
      <c r="B747" t="s">
        <v>5</v>
      </c>
      <c r="C747" s="3">
        <v>45566</v>
      </c>
      <c r="D747">
        <v>796.94</v>
      </c>
    </row>
    <row r="748" spans="1:4" x14ac:dyDescent="0.25">
      <c r="A748" t="s">
        <v>11</v>
      </c>
      <c r="B748" t="s">
        <v>5</v>
      </c>
      <c r="C748" s="3">
        <v>45597</v>
      </c>
      <c r="D748">
        <v>799.62</v>
      </c>
    </row>
    <row r="749" spans="1:4" x14ac:dyDescent="0.25">
      <c r="A749" t="s">
        <v>11</v>
      </c>
      <c r="B749" t="s">
        <v>5</v>
      </c>
      <c r="C749" s="3">
        <v>45627</v>
      </c>
      <c r="D749">
        <v>809.46</v>
      </c>
    </row>
    <row r="750" spans="1:4" x14ac:dyDescent="0.25">
      <c r="A750" t="s">
        <v>11</v>
      </c>
      <c r="B750" t="s">
        <v>5</v>
      </c>
      <c r="C750" s="3">
        <v>45658</v>
      </c>
      <c r="D750">
        <v>808.75</v>
      </c>
    </row>
    <row r="751" spans="1:4" x14ac:dyDescent="0.25">
      <c r="A751" t="s">
        <v>11</v>
      </c>
      <c r="B751" t="s">
        <v>5</v>
      </c>
      <c r="C751" s="3">
        <v>45689</v>
      </c>
      <c r="D751">
        <v>807.71</v>
      </c>
    </row>
    <row r="752" spans="1:4" x14ac:dyDescent="0.25">
      <c r="A752" t="s">
        <v>11</v>
      </c>
      <c r="B752" t="s">
        <v>5</v>
      </c>
      <c r="C752" s="3">
        <v>45717</v>
      </c>
      <c r="D752">
        <v>831.92</v>
      </c>
    </row>
    <row r="753" spans="1:4" x14ac:dyDescent="0.25">
      <c r="A753" t="s">
        <v>11</v>
      </c>
      <c r="B753" t="s">
        <v>5</v>
      </c>
      <c r="C753" s="3">
        <v>45748</v>
      </c>
      <c r="D753">
        <v>858.2</v>
      </c>
    </row>
    <row r="754" spans="1:4" x14ac:dyDescent="0.25">
      <c r="A754" t="s">
        <v>11</v>
      </c>
      <c r="B754" t="s">
        <v>5</v>
      </c>
      <c r="C754" s="3">
        <v>45778</v>
      </c>
      <c r="D754">
        <v>858.93</v>
      </c>
    </row>
    <row r="755" spans="1:4" x14ac:dyDescent="0.25">
      <c r="A755" t="s">
        <v>11</v>
      </c>
      <c r="B755" t="s">
        <v>5</v>
      </c>
      <c r="C755" s="3">
        <v>45809</v>
      </c>
      <c r="D755">
        <v>867.83</v>
      </c>
    </row>
    <row r="756" spans="1:4" x14ac:dyDescent="0.25">
      <c r="A756" t="s">
        <v>12</v>
      </c>
      <c r="B756" t="s">
        <v>5</v>
      </c>
      <c r="C756" s="3">
        <v>42005</v>
      </c>
      <c r="D756">
        <v>288.99</v>
      </c>
    </row>
    <row r="757" spans="1:4" x14ac:dyDescent="0.25">
      <c r="A757" t="s">
        <v>12</v>
      </c>
      <c r="B757" t="s">
        <v>5</v>
      </c>
      <c r="C757" s="3">
        <v>42036</v>
      </c>
      <c r="D757">
        <v>292.23</v>
      </c>
    </row>
    <row r="758" spans="1:4" x14ac:dyDescent="0.25">
      <c r="A758" t="s">
        <v>12</v>
      </c>
      <c r="B758" t="s">
        <v>5</v>
      </c>
      <c r="C758" s="3">
        <v>42064</v>
      </c>
      <c r="D758">
        <v>304.58999999999997</v>
      </c>
    </row>
    <row r="759" spans="1:4" x14ac:dyDescent="0.25">
      <c r="A759" t="s">
        <v>12</v>
      </c>
      <c r="B759" t="s">
        <v>5</v>
      </c>
      <c r="C759" s="3">
        <v>42095</v>
      </c>
      <c r="D759">
        <v>316.2</v>
      </c>
    </row>
    <row r="760" spans="1:4" x14ac:dyDescent="0.25">
      <c r="A760" t="s">
        <v>12</v>
      </c>
      <c r="B760" t="s">
        <v>5</v>
      </c>
      <c r="C760" s="3">
        <v>42125</v>
      </c>
      <c r="D760">
        <v>344.3</v>
      </c>
    </row>
    <row r="761" spans="1:4" x14ac:dyDescent="0.25">
      <c r="A761" t="s">
        <v>12</v>
      </c>
      <c r="B761" t="s">
        <v>5</v>
      </c>
      <c r="C761" s="3">
        <v>42156</v>
      </c>
      <c r="D761">
        <v>325.39999999999998</v>
      </c>
    </row>
    <row r="762" spans="1:4" x14ac:dyDescent="0.25">
      <c r="A762" t="s">
        <v>12</v>
      </c>
      <c r="B762" t="s">
        <v>5</v>
      </c>
      <c r="C762" s="3">
        <v>42186</v>
      </c>
      <c r="D762">
        <v>332.82</v>
      </c>
    </row>
    <row r="763" spans="1:4" x14ac:dyDescent="0.25">
      <c r="A763" t="s">
        <v>12</v>
      </c>
      <c r="B763" t="s">
        <v>5</v>
      </c>
      <c r="C763" s="3">
        <v>42217</v>
      </c>
      <c r="D763">
        <v>317.52</v>
      </c>
    </row>
    <row r="764" spans="1:4" x14ac:dyDescent="0.25">
      <c r="A764" t="s">
        <v>12</v>
      </c>
      <c r="B764" t="s">
        <v>5</v>
      </c>
      <c r="C764" s="3">
        <v>42248</v>
      </c>
      <c r="D764">
        <v>305.2</v>
      </c>
    </row>
    <row r="765" spans="1:4" x14ac:dyDescent="0.25">
      <c r="A765" t="s">
        <v>12</v>
      </c>
      <c r="B765" t="s">
        <v>5</v>
      </c>
      <c r="C765" s="3">
        <v>42278</v>
      </c>
      <c r="D765">
        <v>306.23</v>
      </c>
    </row>
    <row r="766" spans="1:4" x14ac:dyDescent="0.25">
      <c r="A766" t="s">
        <v>12</v>
      </c>
      <c r="B766" t="s">
        <v>5</v>
      </c>
      <c r="C766" s="3">
        <v>42309</v>
      </c>
      <c r="D766">
        <v>317.86</v>
      </c>
    </row>
    <row r="767" spans="1:4" x14ac:dyDescent="0.25">
      <c r="A767" t="s">
        <v>12</v>
      </c>
      <c r="B767" t="s">
        <v>5</v>
      </c>
      <c r="C767" s="3">
        <v>42339</v>
      </c>
      <c r="D767">
        <v>335.59</v>
      </c>
    </row>
    <row r="768" spans="1:4" x14ac:dyDescent="0.25">
      <c r="A768" t="s">
        <v>12</v>
      </c>
      <c r="B768" t="s">
        <v>5</v>
      </c>
      <c r="C768" s="3">
        <v>42370</v>
      </c>
      <c r="D768">
        <v>368.64</v>
      </c>
    </row>
    <row r="769" spans="1:4" x14ac:dyDescent="0.25">
      <c r="A769" t="s">
        <v>12</v>
      </c>
      <c r="B769" t="s">
        <v>5</v>
      </c>
      <c r="C769" s="3">
        <v>42401</v>
      </c>
      <c r="D769">
        <v>387.63</v>
      </c>
    </row>
    <row r="770" spans="1:4" x14ac:dyDescent="0.25">
      <c r="A770" t="s">
        <v>12</v>
      </c>
      <c r="B770" t="s">
        <v>5</v>
      </c>
      <c r="C770" s="3">
        <v>42430</v>
      </c>
      <c r="D770">
        <v>386.3</v>
      </c>
    </row>
    <row r="771" spans="1:4" x14ac:dyDescent="0.25">
      <c r="A771" t="s">
        <v>12</v>
      </c>
      <c r="B771" t="s">
        <v>5</v>
      </c>
      <c r="C771" s="3">
        <v>42461</v>
      </c>
      <c r="D771">
        <v>385.14</v>
      </c>
    </row>
    <row r="772" spans="1:4" x14ac:dyDescent="0.25">
      <c r="A772" t="s">
        <v>12</v>
      </c>
      <c r="B772" t="s">
        <v>5</v>
      </c>
      <c r="C772" s="3">
        <v>42491</v>
      </c>
      <c r="D772">
        <v>375.13</v>
      </c>
    </row>
    <row r="773" spans="1:4" x14ac:dyDescent="0.25">
      <c r="A773" t="s">
        <v>12</v>
      </c>
      <c r="B773" t="s">
        <v>5</v>
      </c>
      <c r="C773" s="3">
        <v>42522</v>
      </c>
      <c r="D773">
        <v>386.78</v>
      </c>
    </row>
    <row r="774" spans="1:4" x14ac:dyDescent="0.25">
      <c r="A774" t="s">
        <v>12</v>
      </c>
      <c r="B774" t="s">
        <v>5</v>
      </c>
      <c r="C774" s="3">
        <v>42552</v>
      </c>
      <c r="D774">
        <v>403.38</v>
      </c>
    </row>
    <row r="775" spans="1:4" x14ac:dyDescent="0.25">
      <c r="A775" t="s">
        <v>12</v>
      </c>
      <c r="B775" t="s">
        <v>5</v>
      </c>
      <c r="C775" s="3">
        <v>42583</v>
      </c>
      <c r="D775">
        <v>410.11</v>
      </c>
    </row>
    <row r="776" spans="1:4" x14ac:dyDescent="0.25">
      <c r="A776" t="s">
        <v>12</v>
      </c>
      <c r="B776" t="s">
        <v>5</v>
      </c>
      <c r="C776" s="3">
        <v>42614</v>
      </c>
      <c r="D776">
        <v>415.94</v>
      </c>
    </row>
    <row r="777" spans="1:4" x14ac:dyDescent="0.25">
      <c r="A777" t="s">
        <v>12</v>
      </c>
      <c r="B777" t="s">
        <v>5</v>
      </c>
      <c r="C777" s="3">
        <v>42644</v>
      </c>
      <c r="D777">
        <v>415.41</v>
      </c>
    </row>
    <row r="778" spans="1:4" x14ac:dyDescent="0.25">
      <c r="A778" t="s">
        <v>12</v>
      </c>
      <c r="B778" t="s">
        <v>5</v>
      </c>
      <c r="C778" s="3">
        <v>42675</v>
      </c>
      <c r="D778">
        <v>406.52</v>
      </c>
    </row>
    <row r="779" spans="1:4" x14ac:dyDescent="0.25">
      <c r="A779" t="s">
        <v>12</v>
      </c>
      <c r="B779" t="s">
        <v>5</v>
      </c>
      <c r="C779" s="3">
        <v>42705</v>
      </c>
      <c r="D779">
        <v>394.19</v>
      </c>
    </row>
    <row r="780" spans="1:4" x14ac:dyDescent="0.25">
      <c r="A780" t="s">
        <v>12</v>
      </c>
      <c r="B780" t="s">
        <v>5</v>
      </c>
      <c r="C780" s="3">
        <v>42736</v>
      </c>
      <c r="D780">
        <v>412.48</v>
      </c>
    </row>
    <row r="781" spans="1:4" x14ac:dyDescent="0.25">
      <c r="A781" t="s">
        <v>12</v>
      </c>
      <c r="B781" t="s">
        <v>5</v>
      </c>
      <c r="C781" s="3">
        <v>42767</v>
      </c>
      <c r="D781">
        <v>401.91</v>
      </c>
    </row>
    <row r="782" spans="1:4" x14ac:dyDescent="0.25">
      <c r="A782" t="s">
        <v>12</v>
      </c>
      <c r="B782" t="s">
        <v>5</v>
      </c>
      <c r="C782" s="3">
        <v>42795</v>
      </c>
      <c r="D782">
        <v>408.83</v>
      </c>
    </row>
    <row r="783" spans="1:4" x14ac:dyDescent="0.25">
      <c r="A783" t="s">
        <v>12</v>
      </c>
      <c r="B783" t="s">
        <v>5</v>
      </c>
      <c r="C783" s="3">
        <v>42826</v>
      </c>
      <c r="D783">
        <v>423.08</v>
      </c>
    </row>
    <row r="784" spans="1:4" x14ac:dyDescent="0.25">
      <c r="A784" t="s">
        <v>12</v>
      </c>
      <c r="B784" t="s">
        <v>5</v>
      </c>
      <c r="C784" s="3">
        <v>42856</v>
      </c>
      <c r="D784">
        <v>404.5</v>
      </c>
    </row>
    <row r="785" spans="1:4" x14ac:dyDescent="0.25">
      <c r="A785" t="s">
        <v>12</v>
      </c>
      <c r="B785" t="s">
        <v>5</v>
      </c>
      <c r="C785" s="3">
        <v>42887</v>
      </c>
      <c r="D785">
        <v>408.49</v>
      </c>
    </row>
    <row r="786" spans="1:4" x14ac:dyDescent="0.25">
      <c r="A786" t="s">
        <v>12</v>
      </c>
      <c r="B786" t="s">
        <v>5</v>
      </c>
      <c r="C786" s="3">
        <v>42917</v>
      </c>
      <c r="D786">
        <v>400.67</v>
      </c>
    </row>
    <row r="787" spans="1:4" x14ac:dyDescent="0.25">
      <c r="A787" t="s">
        <v>12</v>
      </c>
      <c r="B787" t="s">
        <v>5</v>
      </c>
      <c r="C787" s="3">
        <v>42948</v>
      </c>
      <c r="D787">
        <v>389.35</v>
      </c>
    </row>
    <row r="788" spans="1:4" x14ac:dyDescent="0.25">
      <c r="A788" t="s">
        <v>12</v>
      </c>
      <c r="B788" t="s">
        <v>5</v>
      </c>
      <c r="C788" s="3">
        <v>42979</v>
      </c>
      <c r="D788">
        <v>370.46</v>
      </c>
    </row>
    <row r="789" spans="1:4" x14ac:dyDescent="0.25">
      <c r="A789" t="s">
        <v>12</v>
      </c>
      <c r="B789" t="s">
        <v>5</v>
      </c>
      <c r="C789" s="3">
        <v>43009</v>
      </c>
      <c r="D789">
        <v>367.61</v>
      </c>
    </row>
    <row r="790" spans="1:4" x14ac:dyDescent="0.25">
      <c r="A790" t="s">
        <v>12</v>
      </c>
      <c r="B790" t="s">
        <v>5</v>
      </c>
      <c r="C790" s="3">
        <v>43040</v>
      </c>
      <c r="D790">
        <v>363.92</v>
      </c>
    </row>
    <row r="791" spans="1:4" x14ac:dyDescent="0.25">
      <c r="A791" t="s">
        <v>12</v>
      </c>
      <c r="B791" t="s">
        <v>5</v>
      </c>
      <c r="C791" s="3">
        <v>43070</v>
      </c>
      <c r="D791">
        <v>367.45</v>
      </c>
    </row>
    <row r="792" spans="1:4" x14ac:dyDescent="0.25">
      <c r="A792" t="s">
        <v>12</v>
      </c>
      <c r="B792" t="s">
        <v>5</v>
      </c>
      <c r="C792" s="3">
        <v>43101</v>
      </c>
      <c r="D792">
        <v>387.61</v>
      </c>
    </row>
    <row r="793" spans="1:4" x14ac:dyDescent="0.25">
      <c r="A793" t="s">
        <v>12</v>
      </c>
      <c r="B793" t="s">
        <v>5</v>
      </c>
      <c r="C793" s="3">
        <v>43132</v>
      </c>
      <c r="D793">
        <v>395.47</v>
      </c>
    </row>
    <row r="794" spans="1:4" x14ac:dyDescent="0.25">
      <c r="A794" t="s">
        <v>12</v>
      </c>
      <c r="B794" t="s">
        <v>5</v>
      </c>
      <c r="C794" s="3">
        <v>43160</v>
      </c>
      <c r="D794">
        <v>389</v>
      </c>
    </row>
    <row r="795" spans="1:4" x14ac:dyDescent="0.25">
      <c r="A795" t="s">
        <v>12</v>
      </c>
      <c r="B795" t="s">
        <v>5</v>
      </c>
      <c r="C795" s="3">
        <v>43191</v>
      </c>
      <c r="D795">
        <v>378.98</v>
      </c>
    </row>
    <row r="796" spans="1:4" x14ac:dyDescent="0.25">
      <c r="A796" t="s">
        <v>12</v>
      </c>
      <c r="B796" t="s">
        <v>5</v>
      </c>
      <c r="C796" s="3">
        <v>43221</v>
      </c>
      <c r="D796">
        <v>390.79</v>
      </c>
    </row>
    <row r="797" spans="1:4" x14ac:dyDescent="0.25">
      <c r="A797" t="s">
        <v>12</v>
      </c>
      <c r="B797" t="s">
        <v>5</v>
      </c>
      <c r="C797" s="3">
        <v>43252</v>
      </c>
      <c r="D797">
        <v>392.35</v>
      </c>
    </row>
    <row r="798" spans="1:4" x14ac:dyDescent="0.25">
      <c r="A798" t="s">
        <v>12</v>
      </c>
      <c r="B798" t="s">
        <v>5</v>
      </c>
      <c r="C798" s="3">
        <v>43282</v>
      </c>
      <c r="D798">
        <v>379.26</v>
      </c>
    </row>
    <row r="799" spans="1:4" x14ac:dyDescent="0.25">
      <c r="A799" t="s">
        <v>12</v>
      </c>
      <c r="B799" t="s">
        <v>5</v>
      </c>
      <c r="C799" s="3">
        <v>43313</v>
      </c>
      <c r="D799">
        <v>372.89</v>
      </c>
    </row>
    <row r="800" spans="1:4" x14ac:dyDescent="0.25">
      <c r="A800" t="s">
        <v>12</v>
      </c>
      <c r="B800" t="s">
        <v>5</v>
      </c>
      <c r="C800" s="3">
        <v>43344</v>
      </c>
      <c r="D800">
        <v>367.14</v>
      </c>
    </row>
    <row r="801" spans="1:4" x14ac:dyDescent="0.25">
      <c r="A801" t="s">
        <v>12</v>
      </c>
      <c r="B801" t="s">
        <v>5</v>
      </c>
      <c r="C801" s="3">
        <v>43374</v>
      </c>
      <c r="D801">
        <v>393.4</v>
      </c>
    </row>
    <row r="802" spans="1:4" x14ac:dyDescent="0.25">
      <c r="A802" t="s">
        <v>12</v>
      </c>
      <c r="B802" t="s">
        <v>5</v>
      </c>
      <c r="C802" s="3">
        <v>43405</v>
      </c>
      <c r="D802">
        <v>411.66</v>
      </c>
    </row>
    <row r="803" spans="1:4" x14ac:dyDescent="0.25">
      <c r="A803" t="s">
        <v>12</v>
      </c>
      <c r="B803" t="s">
        <v>5</v>
      </c>
      <c r="C803" s="3">
        <v>43435</v>
      </c>
      <c r="D803">
        <v>397.34</v>
      </c>
    </row>
    <row r="804" spans="1:4" x14ac:dyDescent="0.25">
      <c r="A804" t="s">
        <v>12</v>
      </c>
      <c r="B804" t="s">
        <v>5</v>
      </c>
      <c r="C804" s="3">
        <v>43466</v>
      </c>
      <c r="D804">
        <v>403.99</v>
      </c>
    </row>
    <row r="805" spans="1:4" x14ac:dyDescent="0.25">
      <c r="A805" t="s">
        <v>12</v>
      </c>
      <c r="B805" t="s">
        <v>5</v>
      </c>
      <c r="C805" s="3">
        <v>43497</v>
      </c>
      <c r="D805">
        <v>416.86</v>
      </c>
    </row>
    <row r="806" spans="1:4" x14ac:dyDescent="0.25">
      <c r="A806" t="s">
        <v>12</v>
      </c>
      <c r="B806" t="s">
        <v>5</v>
      </c>
      <c r="C806" s="3">
        <v>43525</v>
      </c>
      <c r="D806">
        <v>445.12</v>
      </c>
    </row>
    <row r="807" spans="1:4" x14ac:dyDescent="0.25">
      <c r="A807" t="s">
        <v>12</v>
      </c>
      <c r="B807" t="s">
        <v>5</v>
      </c>
      <c r="C807" s="3">
        <v>43556</v>
      </c>
      <c r="D807">
        <v>459.2</v>
      </c>
    </row>
    <row r="808" spans="1:4" x14ac:dyDescent="0.25">
      <c r="A808" t="s">
        <v>12</v>
      </c>
      <c r="B808" t="s">
        <v>5</v>
      </c>
      <c r="C808" s="3">
        <v>43586</v>
      </c>
      <c r="D808">
        <v>444.44</v>
      </c>
    </row>
    <row r="809" spans="1:4" x14ac:dyDescent="0.25">
      <c r="A809" t="s">
        <v>12</v>
      </c>
      <c r="B809" t="s">
        <v>5</v>
      </c>
      <c r="C809" s="3">
        <v>43617</v>
      </c>
      <c r="D809">
        <v>448.73</v>
      </c>
    </row>
    <row r="810" spans="1:4" x14ac:dyDescent="0.25">
      <c r="A810" t="s">
        <v>12</v>
      </c>
      <c r="B810" t="s">
        <v>5</v>
      </c>
      <c r="C810" s="3">
        <v>43647</v>
      </c>
      <c r="D810">
        <v>432.96</v>
      </c>
    </row>
    <row r="811" spans="1:4" x14ac:dyDescent="0.25">
      <c r="A811" t="s">
        <v>12</v>
      </c>
      <c r="B811" t="s">
        <v>5</v>
      </c>
      <c r="C811" s="3">
        <v>43678</v>
      </c>
      <c r="D811">
        <v>402.84</v>
      </c>
    </row>
    <row r="812" spans="1:4" x14ac:dyDescent="0.25">
      <c r="A812" t="s">
        <v>12</v>
      </c>
      <c r="B812" t="s">
        <v>5</v>
      </c>
      <c r="C812" s="3">
        <v>43709</v>
      </c>
      <c r="D812">
        <v>384.17</v>
      </c>
    </row>
    <row r="813" spans="1:4" x14ac:dyDescent="0.25">
      <c r="A813" t="s">
        <v>12</v>
      </c>
      <c r="B813" t="s">
        <v>5</v>
      </c>
      <c r="C813" s="3">
        <v>43739</v>
      </c>
      <c r="D813">
        <v>387.18</v>
      </c>
    </row>
    <row r="814" spans="1:4" x14ac:dyDescent="0.25">
      <c r="A814" t="s">
        <v>12</v>
      </c>
      <c r="B814" t="s">
        <v>5</v>
      </c>
      <c r="C814" s="3">
        <v>43770</v>
      </c>
      <c r="D814">
        <v>395.82</v>
      </c>
    </row>
    <row r="815" spans="1:4" x14ac:dyDescent="0.25">
      <c r="A815" t="s">
        <v>12</v>
      </c>
      <c r="B815" t="s">
        <v>5</v>
      </c>
      <c r="C815" s="3">
        <v>43800</v>
      </c>
      <c r="D815">
        <v>433.64</v>
      </c>
    </row>
    <row r="816" spans="1:4" x14ac:dyDescent="0.25">
      <c r="A816" t="s">
        <v>12</v>
      </c>
      <c r="B816" t="s">
        <v>5</v>
      </c>
      <c r="C816" s="3">
        <v>43831</v>
      </c>
      <c r="D816">
        <v>433.39</v>
      </c>
    </row>
    <row r="817" spans="1:4" x14ac:dyDescent="0.25">
      <c r="A817" t="s">
        <v>12</v>
      </c>
      <c r="B817" t="s">
        <v>5</v>
      </c>
      <c r="C817" s="3">
        <v>43862</v>
      </c>
      <c r="D817">
        <v>462.99</v>
      </c>
    </row>
    <row r="818" spans="1:4" x14ac:dyDescent="0.25">
      <c r="A818" t="s">
        <v>12</v>
      </c>
      <c r="B818" t="s">
        <v>5</v>
      </c>
      <c r="C818" s="3">
        <v>43891</v>
      </c>
      <c r="D818">
        <v>475.11</v>
      </c>
    </row>
    <row r="819" spans="1:4" x14ac:dyDescent="0.25">
      <c r="A819" t="s">
        <v>12</v>
      </c>
      <c r="B819" t="s">
        <v>5</v>
      </c>
      <c r="C819" s="3">
        <v>43922</v>
      </c>
      <c r="D819">
        <v>482.46</v>
      </c>
    </row>
    <row r="820" spans="1:4" x14ac:dyDescent="0.25">
      <c r="A820" t="s">
        <v>12</v>
      </c>
      <c r="B820" t="s">
        <v>5</v>
      </c>
      <c r="C820" s="3">
        <v>43952</v>
      </c>
      <c r="D820">
        <v>455.18</v>
      </c>
    </row>
    <row r="821" spans="1:4" x14ac:dyDescent="0.25">
      <c r="A821" t="s">
        <v>12</v>
      </c>
      <c r="B821" t="s">
        <v>5</v>
      </c>
      <c r="C821" s="3">
        <v>43983</v>
      </c>
      <c r="D821">
        <v>464.31</v>
      </c>
    </row>
    <row r="822" spans="1:4" x14ac:dyDescent="0.25">
      <c r="A822" t="s">
        <v>12</v>
      </c>
      <c r="B822" t="s">
        <v>5</v>
      </c>
      <c r="C822" s="3">
        <v>44013</v>
      </c>
      <c r="D822">
        <v>454.74</v>
      </c>
    </row>
    <row r="823" spans="1:4" x14ac:dyDescent="0.25">
      <c r="A823" t="s">
        <v>12</v>
      </c>
      <c r="B823" t="s">
        <v>5</v>
      </c>
      <c r="C823" s="3">
        <v>44044</v>
      </c>
      <c r="D823">
        <v>462.13</v>
      </c>
    </row>
    <row r="824" spans="1:4" x14ac:dyDescent="0.25">
      <c r="A824" t="s">
        <v>12</v>
      </c>
      <c r="B824" t="s">
        <v>5</v>
      </c>
      <c r="C824" s="3">
        <v>44075</v>
      </c>
      <c r="D824">
        <v>485.75</v>
      </c>
    </row>
    <row r="825" spans="1:4" x14ac:dyDescent="0.25">
      <c r="A825" t="s">
        <v>12</v>
      </c>
      <c r="B825" t="s">
        <v>5</v>
      </c>
      <c r="C825" s="3">
        <v>44105</v>
      </c>
      <c r="D825">
        <v>510.54</v>
      </c>
    </row>
    <row r="826" spans="1:4" x14ac:dyDescent="0.25">
      <c r="A826" t="s">
        <v>12</v>
      </c>
      <c r="B826" t="s">
        <v>5</v>
      </c>
      <c r="C826" s="3">
        <v>44136</v>
      </c>
      <c r="D826">
        <v>539.33000000000004</v>
      </c>
    </row>
    <row r="827" spans="1:4" x14ac:dyDescent="0.25">
      <c r="A827" t="s">
        <v>12</v>
      </c>
      <c r="B827" t="s">
        <v>5</v>
      </c>
      <c r="C827" s="3">
        <v>44166</v>
      </c>
      <c r="D827">
        <v>534.96</v>
      </c>
    </row>
    <row r="828" spans="1:4" x14ac:dyDescent="0.25">
      <c r="A828" t="s">
        <v>12</v>
      </c>
      <c r="B828" t="s">
        <v>5</v>
      </c>
      <c r="C828" s="3">
        <v>44197</v>
      </c>
      <c r="D828">
        <v>532.97</v>
      </c>
    </row>
    <row r="829" spans="1:4" x14ac:dyDescent="0.25">
      <c r="A829" t="s">
        <v>12</v>
      </c>
      <c r="B829" t="s">
        <v>5</v>
      </c>
      <c r="C829" s="3">
        <v>44228</v>
      </c>
      <c r="D829">
        <v>523.46</v>
      </c>
    </row>
    <row r="830" spans="1:4" x14ac:dyDescent="0.25">
      <c r="A830" t="s">
        <v>12</v>
      </c>
      <c r="B830" t="s">
        <v>5</v>
      </c>
      <c r="C830" s="3">
        <v>44256</v>
      </c>
      <c r="D830">
        <v>517.04999999999995</v>
      </c>
    </row>
    <row r="831" spans="1:4" x14ac:dyDescent="0.25">
      <c r="A831" t="s">
        <v>12</v>
      </c>
      <c r="B831" t="s">
        <v>5</v>
      </c>
      <c r="C831" s="3">
        <v>44287</v>
      </c>
      <c r="D831">
        <v>525.26</v>
      </c>
    </row>
    <row r="832" spans="1:4" x14ac:dyDescent="0.25">
      <c r="A832" t="s">
        <v>12</v>
      </c>
      <c r="B832" t="s">
        <v>5</v>
      </c>
      <c r="C832" s="3">
        <v>44317</v>
      </c>
      <c r="D832">
        <v>532.21</v>
      </c>
    </row>
    <row r="833" spans="1:4" x14ac:dyDescent="0.25">
      <c r="A833" t="s">
        <v>12</v>
      </c>
      <c r="B833" t="s">
        <v>5</v>
      </c>
      <c r="C833" s="3">
        <v>44348</v>
      </c>
      <c r="D833">
        <v>541.61</v>
      </c>
    </row>
    <row r="834" spans="1:4" x14ac:dyDescent="0.25">
      <c r="A834" t="s">
        <v>12</v>
      </c>
      <c r="B834" t="s">
        <v>5</v>
      </c>
      <c r="C834" s="3">
        <v>44378</v>
      </c>
      <c r="D834">
        <v>562.82000000000005</v>
      </c>
    </row>
    <row r="835" spans="1:4" x14ac:dyDescent="0.25">
      <c r="A835" t="s">
        <v>12</v>
      </c>
      <c r="B835" t="s">
        <v>5</v>
      </c>
      <c r="C835" s="3">
        <v>44409</v>
      </c>
      <c r="D835">
        <v>552.24</v>
      </c>
    </row>
    <row r="836" spans="1:4" x14ac:dyDescent="0.25">
      <c r="A836" t="s">
        <v>12</v>
      </c>
      <c r="B836" t="s">
        <v>5</v>
      </c>
      <c r="C836" s="3">
        <v>44440</v>
      </c>
      <c r="D836">
        <v>552.09</v>
      </c>
    </row>
    <row r="837" spans="1:4" x14ac:dyDescent="0.25">
      <c r="A837" t="s">
        <v>12</v>
      </c>
      <c r="B837" t="s">
        <v>5</v>
      </c>
      <c r="C837" s="3">
        <v>44470</v>
      </c>
      <c r="D837">
        <v>563.96</v>
      </c>
    </row>
    <row r="838" spans="1:4" x14ac:dyDescent="0.25">
      <c r="A838" t="s">
        <v>12</v>
      </c>
      <c r="B838" t="s">
        <v>5</v>
      </c>
      <c r="C838" s="3">
        <v>44501</v>
      </c>
      <c r="D838">
        <v>580.36</v>
      </c>
    </row>
    <row r="839" spans="1:4" x14ac:dyDescent="0.25">
      <c r="A839" t="s">
        <v>12</v>
      </c>
      <c r="B839" t="s">
        <v>5</v>
      </c>
      <c r="C839" s="3">
        <v>44531</v>
      </c>
      <c r="D839">
        <v>579.05999999999995</v>
      </c>
    </row>
    <row r="840" spans="1:4" x14ac:dyDescent="0.25">
      <c r="A840" t="s">
        <v>12</v>
      </c>
      <c r="B840" t="s">
        <v>5</v>
      </c>
      <c r="C840" s="3">
        <v>44562</v>
      </c>
      <c r="D840">
        <v>607.35</v>
      </c>
    </row>
    <row r="841" spans="1:4" x14ac:dyDescent="0.25">
      <c r="A841" t="s">
        <v>12</v>
      </c>
      <c r="B841" t="s">
        <v>5</v>
      </c>
      <c r="C841" s="3">
        <v>44593</v>
      </c>
      <c r="D841">
        <v>609.6</v>
      </c>
    </row>
    <row r="842" spans="1:4" x14ac:dyDescent="0.25">
      <c r="A842" t="s">
        <v>12</v>
      </c>
      <c r="B842" t="s">
        <v>5</v>
      </c>
      <c r="C842" s="3">
        <v>44621</v>
      </c>
      <c r="D842">
        <v>635.02</v>
      </c>
    </row>
    <row r="843" spans="1:4" x14ac:dyDescent="0.25">
      <c r="A843" t="s">
        <v>12</v>
      </c>
      <c r="B843" t="s">
        <v>5</v>
      </c>
      <c r="C843" s="3">
        <v>44652</v>
      </c>
      <c r="D843">
        <v>647.63</v>
      </c>
    </row>
    <row r="844" spans="1:4" x14ac:dyDescent="0.25">
      <c r="A844" t="s">
        <v>12</v>
      </c>
      <c r="B844" t="s">
        <v>5</v>
      </c>
      <c r="C844" s="3">
        <v>44682</v>
      </c>
      <c r="D844">
        <v>628.46</v>
      </c>
    </row>
    <row r="845" spans="1:4" x14ac:dyDescent="0.25">
      <c r="A845" t="s">
        <v>12</v>
      </c>
      <c r="B845" t="s">
        <v>5</v>
      </c>
      <c r="C845" s="3">
        <v>44713</v>
      </c>
      <c r="D845">
        <v>657</v>
      </c>
    </row>
    <row r="846" spans="1:4" x14ac:dyDescent="0.25">
      <c r="A846" t="s">
        <v>12</v>
      </c>
      <c r="B846" t="s">
        <v>5</v>
      </c>
      <c r="C846" s="3">
        <v>44743</v>
      </c>
      <c r="D846">
        <v>641.46</v>
      </c>
    </row>
    <row r="847" spans="1:4" x14ac:dyDescent="0.25">
      <c r="A847" t="s">
        <v>12</v>
      </c>
      <c r="B847" t="s">
        <v>5</v>
      </c>
      <c r="C847" s="3">
        <v>44774</v>
      </c>
      <c r="D847">
        <v>626.98</v>
      </c>
    </row>
    <row r="848" spans="1:4" x14ac:dyDescent="0.25">
      <c r="A848" t="s">
        <v>12</v>
      </c>
      <c r="B848" t="s">
        <v>5</v>
      </c>
      <c r="C848" s="3">
        <v>44805</v>
      </c>
      <c r="D848">
        <v>620.87</v>
      </c>
    </row>
    <row r="849" spans="1:4" x14ac:dyDescent="0.25">
      <c r="A849" t="s">
        <v>12</v>
      </c>
      <c r="B849" t="s">
        <v>5</v>
      </c>
      <c r="C849" s="3">
        <v>44835</v>
      </c>
      <c r="D849">
        <v>622.57000000000005</v>
      </c>
    </row>
    <row r="850" spans="1:4" x14ac:dyDescent="0.25">
      <c r="A850" t="s">
        <v>12</v>
      </c>
      <c r="B850" t="s">
        <v>5</v>
      </c>
      <c r="C850" s="3">
        <v>44866</v>
      </c>
      <c r="D850">
        <v>630.66999999999996</v>
      </c>
    </row>
    <row r="851" spans="1:4" x14ac:dyDescent="0.25">
      <c r="A851" t="s">
        <v>12</v>
      </c>
      <c r="B851" t="s">
        <v>5</v>
      </c>
      <c r="C851" s="3">
        <v>44896</v>
      </c>
      <c r="D851">
        <v>653.99</v>
      </c>
    </row>
    <row r="852" spans="1:4" x14ac:dyDescent="0.25">
      <c r="A852" t="s">
        <v>12</v>
      </c>
      <c r="B852" t="s">
        <v>5</v>
      </c>
      <c r="C852" s="3">
        <v>44927</v>
      </c>
      <c r="D852">
        <v>679.81</v>
      </c>
    </row>
    <row r="853" spans="1:4" x14ac:dyDescent="0.25">
      <c r="A853" t="s">
        <v>12</v>
      </c>
      <c r="B853" t="s">
        <v>5</v>
      </c>
      <c r="C853" s="3">
        <v>44958</v>
      </c>
      <c r="D853">
        <v>671.32</v>
      </c>
    </row>
    <row r="854" spans="1:4" x14ac:dyDescent="0.25">
      <c r="A854" t="s">
        <v>12</v>
      </c>
      <c r="B854" t="s">
        <v>5</v>
      </c>
      <c r="C854" s="3">
        <v>44986</v>
      </c>
      <c r="D854">
        <v>647.91999999999996</v>
      </c>
    </row>
    <row r="855" spans="1:4" x14ac:dyDescent="0.25">
      <c r="A855" t="s">
        <v>12</v>
      </c>
      <c r="B855" t="s">
        <v>5</v>
      </c>
      <c r="C855" s="3">
        <v>45017</v>
      </c>
      <c r="D855">
        <v>669.79</v>
      </c>
    </row>
    <row r="856" spans="1:4" x14ac:dyDescent="0.25">
      <c r="A856" t="s">
        <v>12</v>
      </c>
      <c r="B856" t="s">
        <v>5</v>
      </c>
      <c r="C856" s="3">
        <v>45047</v>
      </c>
      <c r="D856">
        <v>672.66</v>
      </c>
    </row>
    <row r="857" spans="1:4" x14ac:dyDescent="0.25">
      <c r="A857" t="s">
        <v>12</v>
      </c>
      <c r="B857" t="s">
        <v>5</v>
      </c>
      <c r="C857" s="3">
        <v>45078</v>
      </c>
      <c r="D857">
        <v>661.16</v>
      </c>
    </row>
    <row r="858" spans="1:4" x14ac:dyDescent="0.25">
      <c r="A858" t="s">
        <v>12</v>
      </c>
      <c r="B858" t="s">
        <v>5</v>
      </c>
      <c r="C858" s="3">
        <v>45108</v>
      </c>
      <c r="D858">
        <v>661.5</v>
      </c>
    </row>
    <row r="859" spans="1:4" x14ac:dyDescent="0.25">
      <c r="A859" t="s">
        <v>12</v>
      </c>
      <c r="B859" t="s">
        <v>5</v>
      </c>
      <c r="C859" s="3">
        <v>45139</v>
      </c>
      <c r="D859">
        <v>642.67999999999995</v>
      </c>
    </row>
    <row r="860" spans="1:4" x14ac:dyDescent="0.25">
      <c r="A860" t="s">
        <v>12</v>
      </c>
      <c r="B860" t="s">
        <v>5</v>
      </c>
      <c r="C860" s="3">
        <v>45170</v>
      </c>
      <c r="D860">
        <v>640.48</v>
      </c>
    </row>
    <row r="861" spans="1:4" x14ac:dyDescent="0.25">
      <c r="A861" t="s">
        <v>12</v>
      </c>
      <c r="B861" t="s">
        <v>5</v>
      </c>
      <c r="C861" s="3">
        <v>45200</v>
      </c>
      <c r="D861">
        <v>648.92999999999995</v>
      </c>
    </row>
    <row r="862" spans="1:4" x14ac:dyDescent="0.25">
      <c r="A862" t="s">
        <v>12</v>
      </c>
      <c r="B862" t="s">
        <v>5</v>
      </c>
      <c r="C862" s="3">
        <v>45231</v>
      </c>
      <c r="D862">
        <v>639.91</v>
      </c>
    </row>
    <row r="863" spans="1:4" x14ac:dyDescent="0.25">
      <c r="A863" t="s">
        <v>12</v>
      </c>
      <c r="B863" t="s">
        <v>5</v>
      </c>
      <c r="C863" s="3">
        <v>45261</v>
      </c>
      <c r="D863">
        <v>630.38</v>
      </c>
    </row>
    <row r="864" spans="1:4" x14ac:dyDescent="0.25">
      <c r="A864" t="s">
        <v>12</v>
      </c>
      <c r="B864" t="s">
        <v>5</v>
      </c>
      <c r="C864" s="3">
        <v>45292</v>
      </c>
      <c r="D864">
        <v>618.32000000000005</v>
      </c>
    </row>
    <row r="865" spans="1:4" x14ac:dyDescent="0.25">
      <c r="A865" t="s">
        <v>12</v>
      </c>
      <c r="B865" t="s">
        <v>5</v>
      </c>
      <c r="C865" s="3">
        <v>45323</v>
      </c>
      <c r="D865">
        <v>627.66999999999996</v>
      </c>
    </row>
    <row r="866" spans="1:4" x14ac:dyDescent="0.25">
      <c r="A866" t="s">
        <v>12</v>
      </c>
      <c r="B866" t="s">
        <v>5</v>
      </c>
      <c r="C866" s="3">
        <v>45352</v>
      </c>
      <c r="D866">
        <v>663.22</v>
      </c>
    </row>
    <row r="867" spans="1:4" x14ac:dyDescent="0.25">
      <c r="A867" t="s">
        <v>12</v>
      </c>
      <c r="B867" t="s">
        <v>5</v>
      </c>
      <c r="C867" s="3">
        <v>45383</v>
      </c>
      <c r="D867">
        <v>714.68</v>
      </c>
    </row>
    <row r="868" spans="1:4" x14ac:dyDescent="0.25">
      <c r="A868" t="s">
        <v>12</v>
      </c>
      <c r="B868" t="s">
        <v>5</v>
      </c>
      <c r="C868" s="3">
        <v>45413</v>
      </c>
      <c r="D868">
        <v>709.9</v>
      </c>
    </row>
    <row r="869" spans="1:4" x14ac:dyDescent="0.25">
      <c r="A869" t="s">
        <v>12</v>
      </c>
      <c r="B869" t="s">
        <v>5</v>
      </c>
      <c r="C869" s="3">
        <v>45444</v>
      </c>
      <c r="D869">
        <v>697.33</v>
      </c>
    </row>
    <row r="870" spans="1:4" x14ac:dyDescent="0.25">
      <c r="A870" t="s">
        <v>12</v>
      </c>
      <c r="B870" t="s">
        <v>5</v>
      </c>
      <c r="C870" s="3">
        <v>45474</v>
      </c>
      <c r="D870">
        <v>677.53</v>
      </c>
    </row>
    <row r="871" spans="1:4" x14ac:dyDescent="0.25">
      <c r="A871" t="s">
        <v>12</v>
      </c>
      <c r="B871" t="s">
        <v>5</v>
      </c>
      <c r="C871" s="3">
        <v>45505</v>
      </c>
      <c r="D871">
        <v>630.48</v>
      </c>
    </row>
    <row r="872" spans="1:4" x14ac:dyDescent="0.25">
      <c r="A872" t="s">
        <v>12</v>
      </c>
      <c r="B872" t="s">
        <v>5</v>
      </c>
      <c r="C872" s="3">
        <v>45536</v>
      </c>
      <c r="D872">
        <v>615.91999999999996</v>
      </c>
    </row>
    <row r="873" spans="1:4" x14ac:dyDescent="0.25">
      <c r="A873" t="s">
        <v>12</v>
      </c>
      <c r="B873" t="s">
        <v>5</v>
      </c>
      <c r="C873" s="3">
        <v>45566</v>
      </c>
      <c r="D873">
        <v>641.34</v>
      </c>
    </row>
    <row r="874" spans="1:4" x14ac:dyDescent="0.25">
      <c r="A874" t="s">
        <v>12</v>
      </c>
      <c r="B874" t="s">
        <v>5</v>
      </c>
      <c r="C874" s="3">
        <v>45597</v>
      </c>
      <c r="D874">
        <v>663.95</v>
      </c>
    </row>
    <row r="875" spans="1:4" x14ac:dyDescent="0.25">
      <c r="A875" t="s">
        <v>12</v>
      </c>
      <c r="B875" t="s">
        <v>5</v>
      </c>
      <c r="C875" s="3">
        <v>45627</v>
      </c>
      <c r="D875">
        <v>673.77</v>
      </c>
    </row>
    <row r="876" spans="1:4" x14ac:dyDescent="0.25">
      <c r="A876" t="s">
        <v>12</v>
      </c>
      <c r="B876" t="s">
        <v>5</v>
      </c>
      <c r="C876" s="3">
        <v>45658</v>
      </c>
      <c r="D876">
        <v>700.44</v>
      </c>
    </row>
    <row r="877" spans="1:4" x14ac:dyDescent="0.25">
      <c r="A877" t="s">
        <v>12</v>
      </c>
      <c r="B877" t="s">
        <v>5</v>
      </c>
      <c r="C877" s="3">
        <v>45689</v>
      </c>
      <c r="D877">
        <v>710.66</v>
      </c>
    </row>
    <row r="878" spans="1:4" x14ac:dyDescent="0.25">
      <c r="A878" t="s">
        <v>12</v>
      </c>
      <c r="B878" t="s">
        <v>5</v>
      </c>
      <c r="C878" s="3">
        <v>45717</v>
      </c>
      <c r="D878">
        <v>727.46</v>
      </c>
    </row>
    <row r="879" spans="1:4" x14ac:dyDescent="0.25">
      <c r="A879" t="s">
        <v>12</v>
      </c>
      <c r="B879" t="s">
        <v>5</v>
      </c>
      <c r="C879" s="3">
        <v>45748</v>
      </c>
      <c r="D879">
        <v>746.52</v>
      </c>
    </row>
    <row r="880" spans="1:4" x14ac:dyDescent="0.25">
      <c r="A880" t="s">
        <v>12</v>
      </c>
      <c r="B880" t="s">
        <v>5</v>
      </c>
      <c r="C880" s="3">
        <v>45778</v>
      </c>
      <c r="D880">
        <v>728.49</v>
      </c>
    </row>
    <row r="881" spans="1:4" x14ac:dyDescent="0.25">
      <c r="A881" t="s">
        <v>12</v>
      </c>
      <c r="B881" t="s">
        <v>5</v>
      </c>
      <c r="C881" s="3">
        <v>45809</v>
      </c>
      <c r="D881">
        <v>735.11</v>
      </c>
    </row>
    <row r="882" spans="1:4" x14ac:dyDescent="0.25">
      <c r="A882" t="s">
        <v>13</v>
      </c>
      <c r="B882" t="s">
        <v>5</v>
      </c>
      <c r="C882" s="3">
        <v>42005</v>
      </c>
      <c r="D882">
        <v>323.73</v>
      </c>
    </row>
    <row r="883" spans="1:4" x14ac:dyDescent="0.25">
      <c r="A883" t="s">
        <v>13</v>
      </c>
      <c r="B883" t="s">
        <v>5</v>
      </c>
      <c r="C883" s="3">
        <v>42036</v>
      </c>
      <c r="D883">
        <v>325.64</v>
      </c>
    </row>
    <row r="884" spans="1:4" x14ac:dyDescent="0.25">
      <c r="A884" t="s">
        <v>13</v>
      </c>
      <c r="B884" t="s">
        <v>5</v>
      </c>
      <c r="C884" s="3">
        <v>42064</v>
      </c>
      <c r="D884">
        <v>323.48</v>
      </c>
    </row>
    <row r="885" spans="1:4" x14ac:dyDescent="0.25">
      <c r="A885" t="s">
        <v>13</v>
      </c>
      <c r="B885" t="s">
        <v>5</v>
      </c>
      <c r="C885" s="3">
        <v>42095</v>
      </c>
      <c r="D885">
        <v>327.69</v>
      </c>
    </row>
    <row r="886" spans="1:4" x14ac:dyDescent="0.25">
      <c r="A886" t="s">
        <v>13</v>
      </c>
      <c r="B886" t="s">
        <v>5</v>
      </c>
      <c r="C886" s="3">
        <v>42125</v>
      </c>
      <c r="D886">
        <v>347.03</v>
      </c>
    </row>
    <row r="887" spans="1:4" x14ac:dyDescent="0.25">
      <c r="A887" t="s">
        <v>13</v>
      </c>
      <c r="B887" t="s">
        <v>5</v>
      </c>
      <c r="C887" s="3">
        <v>42156</v>
      </c>
      <c r="D887">
        <v>329.65</v>
      </c>
    </row>
    <row r="888" spans="1:4" x14ac:dyDescent="0.25">
      <c r="A888" t="s">
        <v>13</v>
      </c>
      <c r="B888" t="s">
        <v>5</v>
      </c>
      <c r="C888" s="3">
        <v>42186</v>
      </c>
      <c r="D888">
        <v>327.47000000000003</v>
      </c>
    </row>
    <row r="889" spans="1:4" x14ac:dyDescent="0.25">
      <c r="A889" t="s">
        <v>13</v>
      </c>
      <c r="B889" t="s">
        <v>5</v>
      </c>
      <c r="C889" s="3">
        <v>42217</v>
      </c>
      <c r="D889">
        <v>320.69</v>
      </c>
    </row>
    <row r="890" spans="1:4" x14ac:dyDescent="0.25">
      <c r="A890" t="s">
        <v>13</v>
      </c>
      <c r="B890" t="s">
        <v>5</v>
      </c>
      <c r="C890" s="3">
        <v>42248</v>
      </c>
      <c r="D890">
        <v>311.2</v>
      </c>
    </row>
    <row r="891" spans="1:4" x14ac:dyDescent="0.25">
      <c r="A891" t="s">
        <v>13</v>
      </c>
      <c r="B891" t="s">
        <v>5</v>
      </c>
      <c r="C891" s="3">
        <v>42278</v>
      </c>
      <c r="D891">
        <v>310.73</v>
      </c>
    </row>
    <row r="892" spans="1:4" x14ac:dyDescent="0.25">
      <c r="A892" t="s">
        <v>13</v>
      </c>
      <c r="B892" t="s">
        <v>5</v>
      </c>
      <c r="C892" s="3">
        <v>42309</v>
      </c>
      <c r="D892">
        <v>321.85000000000002</v>
      </c>
    </row>
    <row r="893" spans="1:4" x14ac:dyDescent="0.25">
      <c r="A893" t="s">
        <v>13</v>
      </c>
      <c r="B893" t="s">
        <v>5</v>
      </c>
      <c r="C893" s="3">
        <v>42339</v>
      </c>
      <c r="D893">
        <v>335.87</v>
      </c>
    </row>
    <row r="894" spans="1:4" x14ac:dyDescent="0.25">
      <c r="A894" t="s">
        <v>13</v>
      </c>
      <c r="B894" t="s">
        <v>5</v>
      </c>
      <c r="C894" s="3">
        <v>42370</v>
      </c>
      <c r="D894">
        <v>388.45</v>
      </c>
    </row>
    <row r="895" spans="1:4" x14ac:dyDescent="0.25">
      <c r="A895" t="s">
        <v>13</v>
      </c>
      <c r="B895" t="s">
        <v>5</v>
      </c>
      <c r="C895" s="3">
        <v>42401</v>
      </c>
      <c r="D895">
        <v>371.8</v>
      </c>
    </row>
    <row r="896" spans="1:4" x14ac:dyDescent="0.25">
      <c r="A896" t="s">
        <v>13</v>
      </c>
      <c r="B896" t="s">
        <v>5</v>
      </c>
      <c r="C896" s="3">
        <v>42430</v>
      </c>
      <c r="D896">
        <v>378.45</v>
      </c>
    </row>
    <row r="897" spans="1:4" x14ac:dyDescent="0.25">
      <c r="A897" t="s">
        <v>13</v>
      </c>
      <c r="B897" t="s">
        <v>5</v>
      </c>
      <c r="C897" s="3">
        <v>42461</v>
      </c>
      <c r="D897">
        <v>382.16</v>
      </c>
    </row>
    <row r="898" spans="1:4" x14ac:dyDescent="0.25">
      <c r="A898" t="s">
        <v>13</v>
      </c>
      <c r="B898" t="s">
        <v>5</v>
      </c>
      <c r="C898" s="3">
        <v>42491</v>
      </c>
      <c r="D898">
        <v>385.24</v>
      </c>
    </row>
    <row r="899" spans="1:4" x14ac:dyDescent="0.25">
      <c r="A899" t="s">
        <v>13</v>
      </c>
      <c r="B899" t="s">
        <v>5</v>
      </c>
      <c r="C899" s="3">
        <v>42522</v>
      </c>
      <c r="D899">
        <v>421.46</v>
      </c>
    </row>
    <row r="900" spans="1:4" x14ac:dyDescent="0.25">
      <c r="A900" t="s">
        <v>13</v>
      </c>
      <c r="B900" t="s">
        <v>5</v>
      </c>
      <c r="C900" s="3">
        <v>42552</v>
      </c>
      <c r="D900">
        <v>424.47</v>
      </c>
    </row>
    <row r="901" spans="1:4" x14ac:dyDescent="0.25">
      <c r="A901" t="s">
        <v>13</v>
      </c>
      <c r="B901" t="s">
        <v>5</v>
      </c>
      <c r="C901" s="3">
        <v>42583</v>
      </c>
      <c r="D901">
        <v>411.12</v>
      </c>
    </row>
    <row r="902" spans="1:4" x14ac:dyDescent="0.25">
      <c r="A902" t="s">
        <v>13</v>
      </c>
      <c r="B902" t="s">
        <v>5</v>
      </c>
      <c r="C902" s="3">
        <v>42614</v>
      </c>
      <c r="D902">
        <v>393.39</v>
      </c>
    </row>
    <row r="903" spans="1:4" x14ac:dyDescent="0.25">
      <c r="A903" t="s">
        <v>13</v>
      </c>
      <c r="B903" t="s">
        <v>5</v>
      </c>
      <c r="C903" s="3">
        <v>42644</v>
      </c>
      <c r="D903">
        <v>389.44</v>
      </c>
    </row>
    <row r="904" spans="1:4" x14ac:dyDescent="0.25">
      <c r="A904" t="s">
        <v>13</v>
      </c>
      <c r="B904" t="s">
        <v>5</v>
      </c>
      <c r="C904" s="3">
        <v>42675</v>
      </c>
      <c r="D904">
        <v>387.56</v>
      </c>
    </row>
    <row r="905" spans="1:4" x14ac:dyDescent="0.25">
      <c r="A905" t="s">
        <v>13</v>
      </c>
      <c r="B905" t="s">
        <v>5</v>
      </c>
      <c r="C905" s="3">
        <v>42705</v>
      </c>
      <c r="D905">
        <v>386.84</v>
      </c>
    </row>
    <row r="906" spans="1:4" x14ac:dyDescent="0.25">
      <c r="A906" t="s">
        <v>13</v>
      </c>
      <c r="B906" t="s">
        <v>5</v>
      </c>
      <c r="C906" s="3">
        <v>42736</v>
      </c>
      <c r="D906">
        <v>385.84</v>
      </c>
    </row>
    <row r="907" spans="1:4" x14ac:dyDescent="0.25">
      <c r="A907" t="s">
        <v>13</v>
      </c>
      <c r="B907" t="s">
        <v>5</v>
      </c>
      <c r="C907" s="3">
        <v>42767</v>
      </c>
      <c r="D907">
        <v>380.18</v>
      </c>
    </row>
    <row r="908" spans="1:4" x14ac:dyDescent="0.25">
      <c r="A908" t="s">
        <v>13</v>
      </c>
      <c r="B908" t="s">
        <v>5</v>
      </c>
      <c r="C908" s="3">
        <v>42795</v>
      </c>
      <c r="D908">
        <v>388.31</v>
      </c>
    </row>
    <row r="909" spans="1:4" x14ac:dyDescent="0.25">
      <c r="A909" t="s">
        <v>13</v>
      </c>
      <c r="B909" t="s">
        <v>5</v>
      </c>
      <c r="C909" s="3">
        <v>42826</v>
      </c>
      <c r="D909">
        <v>388.83</v>
      </c>
    </row>
    <row r="910" spans="1:4" x14ac:dyDescent="0.25">
      <c r="A910" t="s">
        <v>13</v>
      </c>
      <c r="B910" t="s">
        <v>5</v>
      </c>
      <c r="C910" s="3">
        <v>42856</v>
      </c>
      <c r="D910">
        <v>392.72</v>
      </c>
    </row>
    <row r="911" spans="1:4" x14ac:dyDescent="0.25">
      <c r="A911" t="s">
        <v>13</v>
      </c>
      <c r="B911" t="s">
        <v>5</v>
      </c>
      <c r="C911" s="3">
        <v>42887</v>
      </c>
      <c r="D911">
        <v>390.1</v>
      </c>
    </row>
    <row r="912" spans="1:4" x14ac:dyDescent="0.25">
      <c r="A912" t="s">
        <v>13</v>
      </c>
      <c r="B912" t="s">
        <v>5</v>
      </c>
      <c r="C912" s="3">
        <v>42917</v>
      </c>
      <c r="D912">
        <v>386.67</v>
      </c>
    </row>
    <row r="913" spans="1:4" x14ac:dyDescent="0.25">
      <c r="A913" t="s">
        <v>13</v>
      </c>
      <c r="B913" t="s">
        <v>5</v>
      </c>
      <c r="C913" s="3">
        <v>42948</v>
      </c>
      <c r="D913">
        <v>386.81</v>
      </c>
    </row>
    <row r="914" spans="1:4" x14ac:dyDescent="0.25">
      <c r="A914" t="s">
        <v>13</v>
      </c>
      <c r="B914" t="s">
        <v>5</v>
      </c>
      <c r="C914" s="3">
        <v>42979</v>
      </c>
      <c r="D914">
        <v>372.99</v>
      </c>
    </row>
    <row r="915" spans="1:4" x14ac:dyDescent="0.25">
      <c r="A915" t="s">
        <v>13</v>
      </c>
      <c r="B915" t="s">
        <v>5</v>
      </c>
      <c r="C915" s="3">
        <v>43009</v>
      </c>
      <c r="D915">
        <v>362.58</v>
      </c>
    </row>
    <row r="916" spans="1:4" x14ac:dyDescent="0.25">
      <c r="A916" t="s">
        <v>13</v>
      </c>
      <c r="B916" t="s">
        <v>5</v>
      </c>
      <c r="C916" s="3">
        <v>43040</v>
      </c>
      <c r="D916">
        <v>361.96</v>
      </c>
    </row>
    <row r="917" spans="1:4" x14ac:dyDescent="0.25">
      <c r="A917" t="s">
        <v>13</v>
      </c>
      <c r="B917" t="s">
        <v>5</v>
      </c>
      <c r="C917" s="3">
        <v>43070</v>
      </c>
      <c r="D917">
        <v>360.7</v>
      </c>
    </row>
    <row r="918" spans="1:4" x14ac:dyDescent="0.25">
      <c r="A918" t="s">
        <v>13</v>
      </c>
      <c r="B918" t="s">
        <v>5</v>
      </c>
      <c r="C918" s="3">
        <v>43101</v>
      </c>
      <c r="D918">
        <v>362.23</v>
      </c>
    </row>
    <row r="919" spans="1:4" x14ac:dyDescent="0.25">
      <c r="A919" t="s">
        <v>13</v>
      </c>
      <c r="B919" t="s">
        <v>5</v>
      </c>
      <c r="C919" s="3">
        <v>43132</v>
      </c>
      <c r="D919">
        <v>364.01</v>
      </c>
    </row>
    <row r="920" spans="1:4" x14ac:dyDescent="0.25">
      <c r="A920" t="s">
        <v>13</v>
      </c>
      <c r="B920" t="s">
        <v>5</v>
      </c>
      <c r="C920" s="3">
        <v>43160</v>
      </c>
      <c r="D920">
        <v>360.43</v>
      </c>
    </row>
    <row r="921" spans="1:4" x14ac:dyDescent="0.25">
      <c r="A921" t="s">
        <v>13</v>
      </c>
      <c r="B921" t="s">
        <v>5</v>
      </c>
      <c r="C921" s="3">
        <v>43191</v>
      </c>
      <c r="D921">
        <v>365.81</v>
      </c>
    </row>
    <row r="922" spans="1:4" x14ac:dyDescent="0.25">
      <c r="A922" t="s">
        <v>13</v>
      </c>
      <c r="B922" t="s">
        <v>5</v>
      </c>
      <c r="C922" s="3">
        <v>43221</v>
      </c>
      <c r="D922">
        <v>366.65</v>
      </c>
    </row>
    <row r="923" spans="1:4" x14ac:dyDescent="0.25">
      <c r="A923" t="s">
        <v>13</v>
      </c>
      <c r="B923" t="s">
        <v>5</v>
      </c>
      <c r="C923" s="3">
        <v>43252</v>
      </c>
      <c r="D923">
        <v>365.81</v>
      </c>
    </row>
    <row r="924" spans="1:4" x14ac:dyDescent="0.25">
      <c r="A924" t="s">
        <v>13</v>
      </c>
      <c r="B924" t="s">
        <v>5</v>
      </c>
      <c r="C924" s="3">
        <v>43282</v>
      </c>
      <c r="D924">
        <v>366.38</v>
      </c>
    </row>
    <row r="925" spans="1:4" x14ac:dyDescent="0.25">
      <c r="A925" t="s">
        <v>13</v>
      </c>
      <c r="B925" t="s">
        <v>5</v>
      </c>
      <c r="C925" s="3">
        <v>43313</v>
      </c>
      <c r="D925">
        <v>362.47</v>
      </c>
    </row>
    <row r="926" spans="1:4" x14ac:dyDescent="0.25">
      <c r="A926" t="s">
        <v>13</v>
      </c>
      <c r="B926" t="s">
        <v>5</v>
      </c>
      <c r="C926" s="3">
        <v>43344</v>
      </c>
      <c r="D926">
        <v>354.11</v>
      </c>
    </row>
    <row r="927" spans="1:4" x14ac:dyDescent="0.25">
      <c r="A927" t="s">
        <v>13</v>
      </c>
      <c r="B927" t="s">
        <v>5</v>
      </c>
      <c r="C927" s="3">
        <v>43374</v>
      </c>
      <c r="D927">
        <v>357.72</v>
      </c>
    </row>
    <row r="928" spans="1:4" x14ac:dyDescent="0.25">
      <c r="A928" t="s">
        <v>13</v>
      </c>
      <c r="B928" t="s">
        <v>5</v>
      </c>
      <c r="C928" s="3">
        <v>43405</v>
      </c>
      <c r="D928">
        <v>368.06</v>
      </c>
    </row>
    <row r="929" spans="1:4" x14ac:dyDescent="0.25">
      <c r="A929" t="s">
        <v>13</v>
      </c>
      <c r="B929" t="s">
        <v>5</v>
      </c>
      <c r="C929" s="3">
        <v>43435</v>
      </c>
      <c r="D929">
        <v>388.86</v>
      </c>
    </row>
    <row r="930" spans="1:4" x14ac:dyDescent="0.25">
      <c r="A930" t="s">
        <v>13</v>
      </c>
      <c r="B930" t="s">
        <v>5</v>
      </c>
      <c r="C930" s="3">
        <v>43466</v>
      </c>
      <c r="D930">
        <v>398.23</v>
      </c>
    </row>
    <row r="931" spans="1:4" x14ac:dyDescent="0.25">
      <c r="A931" t="s">
        <v>13</v>
      </c>
      <c r="B931" t="s">
        <v>5</v>
      </c>
      <c r="C931" s="3">
        <v>43497</v>
      </c>
      <c r="D931">
        <v>416.4</v>
      </c>
    </row>
    <row r="932" spans="1:4" x14ac:dyDescent="0.25">
      <c r="A932" t="s">
        <v>13</v>
      </c>
      <c r="B932" t="s">
        <v>5</v>
      </c>
      <c r="C932" s="3">
        <v>43525</v>
      </c>
      <c r="D932">
        <v>433.43</v>
      </c>
    </row>
    <row r="933" spans="1:4" x14ac:dyDescent="0.25">
      <c r="A933" t="s">
        <v>13</v>
      </c>
      <c r="B933" t="s">
        <v>5</v>
      </c>
      <c r="C933" s="3">
        <v>43556</v>
      </c>
      <c r="D933">
        <v>445.28</v>
      </c>
    </row>
    <row r="934" spans="1:4" x14ac:dyDescent="0.25">
      <c r="A934" t="s">
        <v>13</v>
      </c>
      <c r="B934" t="s">
        <v>5</v>
      </c>
      <c r="C934" s="3">
        <v>43586</v>
      </c>
      <c r="D934">
        <v>425.35</v>
      </c>
    </row>
    <row r="935" spans="1:4" x14ac:dyDescent="0.25">
      <c r="A935" t="s">
        <v>13</v>
      </c>
      <c r="B935" t="s">
        <v>5</v>
      </c>
      <c r="C935" s="3">
        <v>43617</v>
      </c>
      <c r="D935">
        <v>421.65</v>
      </c>
    </row>
    <row r="936" spans="1:4" x14ac:dyDescent="0.25">
      <c r="A936" t="s">
        <v>13</v>
      </c>
      <c r="B936" t="s">
        <v>5</v>
      </c>
      <c r="C936" s="3">
        <v>43647</v>
      </c>
      <c r="D936">
        <v>420.55</v>
      </c>
    </row>
    <row r="937" spans="1:4" x14ac:dyDescent="0.25">
      <c r="A937" t="s">
        <v>13</v>
      </c>
      <c r="B937" t="s">
        <v>5</v>
      </c>
      <c r="C937" s="3">
        <v>43678</v>
      </c>
      <c r="D937">
        <v>399.4</v>
      </c>
    </row>
    <row r="938" spans="1:4" x14ac:dyDescent="0.25">
      <c r="A938" t="s">
        <v>13</v>
      </c>
      <c r="B938" t="s">
        <v>5</v>
      </c>
      <c r="C938" s="3">
        <v>43709</v>
      </c>
      <c r="D938">
        <v>391.31</v>
      </c>
    </row>
    <row r="939" spans="1:4" x14ac:dyDescent="0.25">
      <c r="A939" t="s">
        <v>13</v>
      </c>
      <c r="B939" t="s">
        <v>5</v>
      </c>
      <c r="C939" s="3">
        <v>43739</v>
      </c>
      <c r="D939">
        <v>395.7</v>
      </c>
    </row>
    <row r="940" spans="1:4" x14ac:dyDescent="0.25">
      <c r="A940" t="s">
        <v>13</v>
      </c>
      <c r="B940" t="s">
        <v>5</v>
      </c>
      <c r="C940" s="3">
        <v>43770</v>
      </c>
      <c r="D940">
        <v>400.16</v>
      </c>
    </row>
    <row r="941" spans="1:4" x14ac:dyDescent="0.25">
      <c r="A941" t="s">
        <v>13</v>
      </c>
      <c r="B941" t="s">
        <v>5</v>
      </c>
      <c r="C941" s="3">
        <v>43800</v>
      </c>
      <c r="D941">
        <v>454.75</v>
      </c>
    </row>
    <row r="942" spans="1:4" x14ac:dyDescent="0.25">
      <c r="A942" t="s">
        <v>13</v>
      </c>
      <c r="B942" t="s">
        <v>5</v>
      </c>
      <c r="C942" s="3">
        <v>43831</v>
      </c>
      <c r="D942">
        <v>455.08</v>
      </c>
    </row>
    <row r="943" spans="1:4" x14ac:dyDescent="0.25">
      <c r="A943" t="s">
        <v>13</v>
      </c>
      <c r="B943" t="s">
        <v>5</v>
      </c>
      <c r="C943" s="3">
        <v>43862</v>
      </c>
      <c r="D943">
        <v>448.62</v>
      </c>
    </row>
    <row r="944" spans="1:4" x14ac:dyDescent="0.25">
      <c r="A944" t="s">
        <v>13</v>
      </c>
      <c r="B944" t="s">
        <v>5</v>
      </c>
      <c r="C944" s="3">
        <v>43891</v>
      </c>
      <c r="D944">
        <v>456.18</v>
      </c>
    </row>
    <row r="945" spans="1:4" x14ac:dyDescent="0.25">
      <c r="A945" t="s">
        <v>13</v>
      </c>
      <c r="B945" t="s">
        <v>5</v>
      </c>
      <c r="C945" s="3">
        <v>43922</v>
      </c>
      <c r="D945">
        <v>493.21</v>
      </c>
    </row>
    <row r="946" spans="1:4" x14ac:dyDescent="0.25">
      <c r="A946" t="s">
        <v>13</v>
      </c>
      <c r="B946" t="s">
        <v>5</v>
      </c>
      <c r="C946" s="3">
        <v>43952</v>
      </c>
      <c r="D946">
        <v>505.99</v>
      </c>
    </row>
    <row r="947" spans="1:4" x14ac:dyDescent="0.25">
      <c r="A947" t="s">
        <v>13</v>
      </c>
      <c r="B947" t="s">
        <v>5</v>
      </c>
      <c r="C947" s="3">
        <v>43983</v>
      </c>
      <c r="D947">
        <v>480.78</v>
      </c>
    </row>
    <row r="948" spans="1:4" x14ac:dyDescent="0.25">
      <c r="A948" t="s">
        <v>13</v>
      </c>
      <c r="B948" t="s">
        <v>5</v>
      </c>
      <c r="C948" s="3">
        <v>44013</v>
      </c>
      <c r="D948">
        <v>472.86</v>
      </c>
    </row>
    <row r="949" spans="1:4" x14ac:dyDescent="0.25">
      <c r="A949" t="s">
        <v>13</v>
      </c>
      <c r="B949" t="s">
        <v>5</v>
      </c>
      <c r="C949" s="3">
        <v>44044</v>
      </c>
      <c r="D949">
        <v>483.15</v>
      </c>
    </row>
    <row r="950" spans="1:4" x14ac:dyDescent="0.25">
      <c r="A950" t="s">
        <v>13</v>
      </c>
      <c r="B950" t="s">
        <v>5</v>
      </c>
      <c r="C950" s="3">
        <v>44075</v>
      </c>
      <c r="D950">
        <v>510.52</v>
      </c>
    </row>
    <row r="951" spans="1:4" x14ac:dyDescent="0.25">
      <c r="A951" t="s">
        <v>13</v>
      </c>
      <c r="B951" t="s">
        <v>5</v>
      </c>
      <c r="C951" s="3">
        <v>44105</v>
      </c>
      <c r="D951">
        <v>537.61</v>
      </c>
    </row>
    <row r="952" spans="1:4" x14ac:dyDescent="0.25">
      <c r="A952" t="s">
        <v>13</v>
      </c>
      <c r="B952" t="s">
        <v>5</v>
      </c>
      <c r="C952" s="3">
        <v>44136</v>
      </c>
      <c r="D952">
        <v>557.46</v>
      </c>
    </row>
    <row r="953" spans="1:4" x14ac:dyDescent="0.25">
      <c r="A953" t="s">
        <v>13</v>
      </c>
      <c r="B953" t="s">
        <v>5</v>
      </c>
      <c r="C953" s="3">
        <v>44166</v>
      </c>
      <c r="D953">
        <v>563.79999999999995</v>
      </c>
    </row>
    <row r="954" spans="1:4" x14ac:dyDescent="0.25">
      <c r="A954" t="s">
        <v>13</v>
      </c>
      <c r="B954" t="s">
        <v>5</v>
      </c>
      <c r="C954" s="3">
        <v>44197</v>
      </c>
      <c r="D954">
        <v>574.76</v>
      </c>
    </row>
    <row r="955" spans="1:4" x14ac:dyDescent="0.25">
      <c r="A955" t="s">
        <v>13</v>
      </c>
      <c r="B955" t="s">
        <v>5</v>
      </c>
      <c r="C955" s="3">
        <v>44228</v>
      </c>
      <c r="D955">
        <v>560.66999999999996</v>
      </c>
    </row>
    <row r="956" spans="1:4" x14ac:dyDescent="0.25">
      <c r="A956" t="s">
        <v>13</v>
      </c>
      <c r="B956" t="s">
        <v>5</v>
      </c>
      <c r="C956" s="3">
        <v>44256</v>
      </c>
      <c r="D956">
        <v>552.04999999999995</v>
      </c>
    </row>
    <row r="957" spans="1:4" x14ac:dyDescent="0.25">
      <c r="A957" t="s">
        <v>13</v>
      </c>
      <c r="B957" t="s">
        <v>5</v>
      </c>
      <c r="C957" s="3">
        <v>44287</v>
      </c>
      <c r="D957">
        <v>556.27</v>
      </c>
    </row>
    <row r="958" spans="1:4" x14ac:dyDescent="0.25">
      <c r="A958" t="s">
        <v>13</v>
      </c>
      <c r="B958" t="s">
        <v>5</v>
      </c>
      <c r="C958" s="3">
        <v>44317</v>
      </c>
      <c r="D958">
        <v>564.04</v>
      </c>
    </row>
    <row r="959" spans="1:4" x14ac:dyDescent="0.25">
      <c r="A959" t="s">
        <v>13</v>
      </c>
      <c r="B959" t="s">
        <v>5</v>
      </c>
      <c r="C959" s="3">
        <v>44348</v>
      </c>
      <c r="D959">
        <v>551.49</v>
      </c>
    </row>
    <row r="960" spans="1:4" x14ac:dyDescent="0.25">
      <c r="A960" t="s">
        <v>13</v>
      </c>
      <c r="B960" t="s">
        <v>5</v>
      </c>
      <c r="C960" s="3">
        <v>44378</v>
      </c>
      <c r="D960">
        <v>562.13</v>
      </c>
    </row>
    <row r="961" spans="1:4" x14ac:dyDescent="0.25">
      <c r="A961" t="s">
        <v>13</v>
      </c>
      <c r="B961" t="s">
        <v>5</v>
      </c>
      <c r="C961" s="3">
        <v>44409</v>
      </c>
      <c r="D961">
        <v>565.4</v>
      </c>
    </row>
    <row r="962" spans="1:4" x14ac:dyDescent="0.25">
      <c r="A962" t="s">
        <v>13</v>
      </c>
      <c r="B962" t="s">
        <v>5</v>
      </c>
      <c r="C962" s="3">
        <v>44440</v>
      </c>
      <c r="D962">
        <v>574.08000000000004</v>
      </c>
    </row>
    <row r="963" spans="1:4" x14ac:dyDescent="0.25">
      <c r="A963" t="s">
        <v>13</v>
      </c>
      <c r="B963" t="s">
        <v>5</v>
      </c>
      <c r="C963" s="3">
        <v>44470</v>
      </c>
      <c r="D963">
        <v>591.78</v>
      </c>
    </row>
    <row r="964" spans="1:4" x14ac:dyDescent="0.25">
      <c r="A964" t="s">
        <v>13</v>
      </c>
      <c r="B964" t="s">
        <v>5</v>
      </c>
      <c r="C964" s="3">
        <v>44501</v>
      </c>
      <c r="D964">
        <v>599.64</v>
      </c>
    </row>
    <row r="965" spans="1:4" x14ac:dyDescent="0.25">
      <c r="A965" t="s">
        <v>13</v>
      </c>
      <c r="B965" t="s">
        <v>5</v>
      </c>
      <c r="C965" s="3">
        <v>44531</v>
      </c>
      <c r="D965">
        <v>597.24</v>
      </c>
    </row>
    <row r="966" spans="1:4" x14ac:dyDescent="0.25">
      <c r="A966" t="s">
        <v>13</v>
      </c>
      <c r="B966" t="s">
        <v>5</v>
      </c>
      <c r="C966" s="3">
        <v>44562</v>
      </c>
      <c r="D966">
        <v>624.91</v>
      </c>
    </row>
    <row r="967" spans="1:4" x14ac:dyDescent="0.25">
      <c r="A967" t="s">
        <v>13</v>
      </c>
      <c r="B967" t="s">
        <v>5</v>
      </c>
      <c r="C967" s="3">
        <v>44593</v>
      </c>
      <c r="D967">
        <v>641.09</v>
      </c>
    </row>
    <row r="968" spans="1:4" x14ac:dyDescent="0.25">
      <c r="A968" t="s">
        <v>13</v>
      </c>
      <c r="B968" t="s">
        <v>5</v>
      </c>
      <c r="C968" s="3">
        <v>44621</v>
      </c>
      <c r="D968">
        <v>663.48</v>
      </c>
    </row>
    <row r="969" spans="1:4" x14ac:dyDescent="0.25">
      <c r="A969" t="s">
        <v>13</v>
      </c>
      <c r="B969" t="s">
        <v>5</v>
      </c>
      <c r="C969" s="3">
        <v>44652</v>
      </c>
      <c r="D969">
        <v>682.87</v>
      </c>
    </row>
    <row r="970" spans="1:4" x14ac:dyDescent="0.25">
      <c r="A970" t="s">
        <v>13</v>
      </c>
      <c r="B970" t="s">
        <v>5</v>
      </c>
      <c r="C970" s="3">
        <v>44682</v>
      </c>
      <c r="D970">
        <v>674.63</v>
      </c>
    </row>
    <row r="971" spans="1:4" x14ac:dyDescent="0.25">
      <c r="A971" t="s">
        <v>13</v>
      </c>
      <c r="B971" t="s">
        <v>5</v>
      </c>
      <c r="C971" s="3">
        <v>44713</v>
      </c>
      <c r="D971">
        <v>674.08</v>
      </c>
    </row>
    <row r="972" spans="1:4" x14ac:dyDescent="0.25">
      <c r="A972" t="s">
        <v>13</v>
      </c>
      <c r="B972" t="s">
        <v>5</v>
      </c>
      <c r="C972" s="3">
        <v>44743</v>
      </c>
      <c r="D972">
        <v>672.91</v>
      </c>
    </row>
    <row r="973" spans="1:4" x14ac:dyDescent="0.25">
      <c r="A973" t="s">
        <v>13</v>
      </c>
      <c r="B973" t="s">
        <v>5</v>
      </c>
      <c r="C973" s="3">
        <v>44774</v>
      </c>
      <c r="D973">
        <v>660.83</v>
      </c>
    </row>
    <row r="974" spans="1:4" x14ac:dyDescent="0.25">
      <c r="A974" t="s">
        <v>13</v>
      </c>
      <c r="B974" t="s">
        <v>5</v>
      </c>
      <c r="C974" s="3">
        <v>44805</v>
      </c>
      <c r="D974">
        <v>658.7</v>
      </c>
    </row>
    <row r="975" spans="1:4" x14ac:dyDescent="0.25">
      <c r="A975" t="s">
        <v>13</v>
      </c>
      <c r="B975" t="s">
        <v>5</v>
      </c>
      <c r="C975" s="3">
        <v>44835</v>
      </c>
      <c r="D975">
        <v>675.79</v>
      </c>
    </row>
    <row r="976" spans="1:4" x14ac:dyDescent="0.25">
      <c r="A976" t="s">
        <v>13</v>
      </c>
      <c r="B976" t="s">
        <v>5</v>
      </c>
      <c r="C976" s="3">
        <v>44866</v>
      </c>
      <c r="D976">
        <v>689.49</v>
      </c>
    </row>
    <row r="977" spans="1:4" x14ac:dyDescent="0.25">
      <c r="A977" t="s">
        <v>13</v>
      </c>
      <c r="B977" t="s">
        <v>5</v>
      </c>
      <c r="C977" s="3">
        <v>44896</v>
      </c>
      <c r="D977">
        <v>704.63</v>
      </c>
    </row>
    <row r="978" spans="1:4" x14ac:dyDescent="0.25">
      <c r="A978" t="s">
        <v>13</v>
      </c>
      <c r="B978" t="s">
        <v>5</v>
      </c>
      <c r="C978" s="3">
        <v>44927</v>
      </c>
      <c r="D978">
        <v>710.62</v>
      </c>
    </row>
    <row r="979" spans="1:4" x14ac:dyDescent="0.25">
      <c r="A979" t="s">
        <v>13</v>
      </c>
      <c r="B979" t="s">
        <v>5</v>
      </c>
      <c r="C979" s="3">
        <v>44958</v>
      </c>
      <c r="D979">
        <v>695.18</v>
      </c>
    </row>
    <row r="980" spans="1:4" x14ac:dyDescent="0.25">
      <c r="A980" t="s">
        <v>13</v>
      </c>
      <c r="B980" t="s">
        <v>5</v>
      </c>
      <c r="C980" s="3">
        <v>44986</v>
      </c>
      <c r="D980">
        <v>680.92</v>
      </c>
    </row>
    <row r="981" spans="1:4" x14ac:dyDescent="0.25">
      <c r="A981" t="s">
        <v>13</v>
      </c>
      <c r="B981" t="s">
        <v>5</v>
      </c>
      <c r="C981" s="3">
        <v>45017</v>
      </c>
      <c r="D981">
        <v>704.94</v>
      </c>
    </row>
    <row r="982" spans="1:4" x14ac:dyDescent="0.25">
      <c r="A982" t="s">
        <v>13</v>
      </c>
      <c r="B982" t="s">
        <v>5</v>
      </c>
      <c r="C982" s="3">
        <v>45047</v>
      </c>
      <c r="D982">
        <v>704.89</v>
      </c>
    </row>
    <row r="983" spans="1:4" x14ac:dyDescent="0.25">
      <c r="A983" t="s">
        <v>13</v>
      </c>
      <c r="B983" t="s">
        <v>5</v>
      </c>
      <c r="C983" s="3">
        <v>45078</v>
      </c>
      <c r="D983">
        <v>669.39</v>
      </c>
    </row>
    <row r="984" spans="1:4" x14ac:dyDescent="0.25">
      <c r="A984" t="s">
        <v>13</v>
      </c>
      <c r="B984" t="s">
        <v>5</v>
      </c>
      <c r="C984" s="3">
        <v>45108</v>
      </c>
      <c r="D984">
        <v>657.71</v>
      </c>
    </row>
    <row r="985" spans="1:4" x14ac:dyDescent="0.25">
      <c r="A985" t="s">
        <v>13</v>
      </c>
      <c r="B985" t="s">
        <v>5</v>
      </c>
      <c r="C985" s="3">
        <v>45139</v>
      </c>
      <c r="D985">
        <v>641.53</v>
      </c>
    </row>
    <row r="986" spans="1:4" x14ac:dyDescent="0.25">
      <c r="A986" t="s">
        <v>13</v>
      </c>
      <c r="B986" t="s">
        <v>5</v>
      </c>
      <c r="C986" s="3">
        <v>45170</v>
      </c>
      <c r="D986">
        <v>630.95000000000005</v>
      </c>
    </row>
    <row r="987" spans="1:4" x14ac:dyDescent="0.25">
      <c r="A987" t="s">
        <v>13</v>
      </c>
      <c r="B987" t="s">
        <v>5</v>
      </c>
      <c r="C987" s="3">
        <v>45200</v>
      </c>
      <c r="D987">
        <v>636.07000000000005</v>
      </c>
    </row>
    <row r="988" spans="1:4" x14ac:dyDescent="0.25">
      <c r="A988" t="s">
        <v>13</v>
      </c>
      <c r="B988" t="s">
        <v>5</v>
      </c>
      <c r="C988" s="3">
        <v>45231</v>
      </c>
      <c r="D988">
        <v>648.59</v>
      </c>
    </row>
    <row r="989" spans="1:4" x14ac:dyDescent="0.25">
      <c r="A989" t="s">
        <v>13</v>
      </c>
      <c r="B989" t="s">
        <v>5</v>
      </c>
      <c r="C989" s="3">
        <v>45261</v>
      </c>
      <c r="D989">
        <v>669.36</v>
      </c>
    </row>
    <row r="990" spans="1:4" x14ac:dyDescent="0.25">
      <c r="A990" t="s">
        <v>13</v>
      </c>
      <c r="B990" t="s">
        <v>5</v>
      </c>
      <c r="C990" s="3">
        <v>45292</v>
      </c>
      <c r="D990">
        <v>710.7</v>
      </c>
    </row>
    <row r="991" spans="1:4" x14ac:dyDescent="0.25">
      <c r="A991" t="s">
        <v>13</v>
      </c>
      <c r="B991" t="s">
        <v>5</v>
      </c>
      <c r="C991" s="3">
        <v>45323</v>
      </c>
      <c r="D991">
        <v>707.81</v>
      </c>
    </row>
    <row r="992" spans="1:4" x14ac:dyDescent="0.25">
      <c r="A992" t="s">
        <v>13</v>
      </c>
      <c r="B992" t="s">
        <v>5</v>
      </c>
      <c r="C992" s="3">
        <v>45352</v>
      </c>
      <c r="D992">
        <v>703.57</v>
      </c>
    </row>
    <row r="993" spans="1:4" x14ac:dyDescent="0.25">
      <c r="A993" t="s">
        <v>13</v>
      </c>
      <c r="B993" t="s">
        <v>5</v>
      </c>
      <c r="C993" s="3">
        <v>45383</v>
      </c>
      <c r="D993">
        <v>701.01</v>
      </c>
    </row>
    <row r="994" spans="1:4" x14ac:dyDescent="0.25">
      <c r="A994" t="s">
        <v>13</v>
      </c>
      <c r="B994" t="s">
        <v>5</v>
      </c>
      <c r="C994" s="3">
        <v>45413</v>
      </c>
      <c r="D994">
        <v>704.51</v>
      </c>
    </row>
    <row r="995" spans="1:4" x14ac:dyDescent="0.25">
      <c r="A995" t="s">
        <v>13</v>
      </c>
      <c r="B995" t="s">
        <v>5</v>
      </c>
      <c r="C995" s="3">
        <v>45444</v>
      </c>
      <c r="D995">
        <v>711.43</v>
      </c>
    </row>
    <row r="996" spans="1:4" x14ac:dyDescent="0.25">
      <c r="A996" t="s">
        <v>13</v>
      </c>
      <c r="B996" t="s">
        <v>5</v>
      </c>
      <c r="C996" s="3">
        <v>45474</v>
      </c>
      <c r="D996">
        <v>695.98</v>
      </c>
    </row>
    <row r="997" spans="1:4" x14ac:dyDescent="0.25">
      <c r="A997" t="s">
        <v>13</v>
      </c>
      <c r="B997" t="s">
        <v>5</v>
      </c>
      <c r="C997" s="3">
        <v>45505</v>
      </c>
      <c r="D997">
        <v>667.87</v>
      </c>
    </row>
    <row r="998" spans="1:4" x14ac:dyDescent="0.25">
      <c r="A998" t="s">
        <v>13</v>
      </c>
      <c r="B998" t="s">
        <v>5</v>
      </c>
      <c r="C998" s="3">
        <v>45536</v>
      </c>
      <c r="D998">
        <v>672.93</v>
      </c>
    </row>
    <row r="999" spans="1:4" x14ac:dyDescent="0.25">
      <c r="A999" t="s">
        <v>13</v>
      </c>
      <c r="B999" t="s">
        <v>5</v>
      </c>
      <c r="C999" s="3">
        <v>45566</v>
      </c>
      <c r="D999">
        <v>695.37</v>
      </c>
    </row>
    <row r="1000" spans="1:4" x14ac:dyDescent="0.25">
      <c r="A1000" t="s">
        <v>13</v>
      </c>
      <c r="B1000" t="s">
        <v>5</v>
      </c>
      <c r="C1000" s="3">
        <v>45597</v>
      </c>
      <c r="D1000">
        <v>727.65</v>
      </c>
    </row>
    <row r="1001" spans="1:4" x14ac:dyDescent="0.25">
      <c r="A1001" t="s">
        <v>13</v>
      </c>
      <c r="B1001" t="s">
        <v>5</v>
      </c>
      <c r="C1001" s="3">
        <v>45627</v>
      </c>
      <c r="D1001">
        <v>732.5</v>
      </c>
    </row>
    <row r="1002" spans="1:4" x14ac:dyDescent="0.25">
      <c r="A1002" t="s">
        <v>13</v>
      </c>
      <c r="B1002" t="s">
        <v>5</v>
      </c>
      <c r="C1002" s="3">
        <v>45658</v>
      </c>
      <c r="D1002">
        <v>756.92</v>
      </c>
    </row>
    <row r="1003" spans="1:4" x14ac:dyDescent="0.25">
      <c r="A1003" t="s">
        <v>13</v>
      </c>
      <c r="B1003" t="s">
        <v>5</v>
      </c>
      <c r="C1003" s="3">
        <v>45689</v>
      </c>
      <c r="D1003">
        <v>739.34</v>
      </c>
    </row>
    <row r="1004" spans="1:4" x14ac:dyDescent="0.25">
      <c r="A1004" t="s">
        <v>13</v>
      </c>
      <c r="B1004" t="s">
        <v>5</v>
      </c>
      <c r="C1004" s="3">
        <v>45717</v>
      </c>
      <c r="D1004">
        <v>754.06</v>
      </c>
    </row>
    <row r="1005" spans="1:4" x14ac:dyDescent="0.25">
      <c r="A1005" t="s">
        <v>13</v>
      </c>
      <c r="B1005" t="s">
        <v>5</v>
      </c>
      <c r="C1005" s="3">
        <v>45748</v>
      </c>
      <c r="D1005">
        <v>767.43</v>
      </c>
    </row>
    <row r="1006" spans="1:4" x14ac:dyDescent="0.25">
      <c r="A1006" t="s">
        <v>13</v>
      </c>
      <c r="B1006" t="s">
        <v>5</v>
      </c>
      <c r="C1006" s="3">
        <v>45778</v>
      </c>
      <c r="D1006">
        <v>758.67</v>
      </c>
    </row>
    <row r="1007" spans="1:4" x14ac:dyDescent="0.25">
      <c r="A1007" t="s">
        <v>13</v>
      </c>
      <c r="B1007" t="s">
        <v>5</v>
      </c>
      <c r="C1007" s="3">
        <v>45809</v>
      </c>
      <c r="D1007">
        <v>744.27</v>
      </c>
    </row>
    <row r="1008" spans="1:4" x14ac:dyDescent="0.25">
      <c r="A1008" t="s">
        <v>14</v>
      </c>
      <c r="B1008" t="s">
        <v>5</v>
      </c>
      <c r="C1008" s="3">
        <v>42005</v>
      </c>
      <c r="D1008">
        <v>278.73</v>
      </c>
    </row>
    <row r="1009" spans="1:4" x14ac:dyDescent="0.25">
      <c r="A1009" t="s">
        <v>14</v>
      </c>
      <c r="B1009" t="s">
        <v>5</v>
      </c>
      <c r="C1009" s="3">
        <v>42036</v>
      </c>
      <c r="D1009">
        <v>286.22000000000003</v>
      </c>
    </row>
    <row r="1010" spans="1:4" x14ac:dyDescent="0.25">
      <c r="A1010" t="s">
        <v>14</v>
      </c>
      <c r="B1010" t="s">
        <v>5</v>
      </c>
      <c r="C1010" s="3">
        <v>42064</v>
      </c>
      <c r="D1010">
        <v>288.43</v>
      </c>
    </row>
    <row r="1011" spans="1:4" x14ac:dyDescent="0.25">
      <c r="A1011" t="s">
        <v>14</v>
      </c>
      <c r="B1011" t="s">
        <v>5</v>
      </c>
      <c r="C1011" s="3">
        <v>42095</v>
      </c>
      <c r="D1011">
        <v>299.89999999999998</v>
      </c>
    </row>
    <row r="1012" spans="1:4" x14ac:dyDescent="0.25">
      <c r="A1012" t="s">
        <v>14</v>
      </c>
      <c r="B1012" t="s">
        <v>5</v>
      </c>
      <c r="C1012" s="3">
        <v>42125</v>
      </c>
      <c r="D1012">
        <v>303.8</v>
      </c>
    </row>
    <row r="1013" spans="1:4" x14ac:dyDescent="0.25">
      <c r="A1013" t="s">
        <v>14</v>
      </c>
      <c r="B1013" t="s">
        <v>5</v>
      </c>
      <c r="C1013" s="3">
        <v>42156</v>
      </c>
      <c r="D1013">
        <v>309.48</v>
      </c>
    </row>
    <row r="1014" spans="1:4" x14ac:dyDescent="0.25">
      <c r="A1014" t="s">
        <v>14</v>
      </c>
      <c r="B1014" t="s">
        <v>5</v>
      </c>
      <c r="C1014" s="3">
        <v>42186</v>
      </c>
      <c r="D1014">
        <v>306.52999999999997</v>
      </c>
    </row>
    <row r="1015" spans="1:4" x14ac:dyDescent="0.25">
      <c r="A1015" t="s">
        <v>14</v>
      </c>
      <c r="B1015" t="s">
        <v>5</v>
      </c>
      <c r="C1015" s="3">
        <v>42217</v>
      </c>
      <c r="D1015">
        <v>307.39</v>
      </c>
    </row>
    <row r="1016" spans="1:4" x14ac:dyDescent="0.25">
      <c r="A1016" t="s">
        <v>14</v>
      </c>
      <c r="B1016" t="s">
        <v>5</v>
      </c>
      <c r="C1016" s="3">
        <v>42248</v>
      </c>
      <c r="D1016">
        <v>299.64999999999998</v>
      </c>
    </row>
    <row r="1017" spans="1:4" x14ac:dyDescent="0.25">
      <c r="A1017" t="s">
        <v>14</v>
      </c>
      <c r="B1017" t="s">
        <v>5</v>
      </c>
      <c r="C1017" s="3">
        <v>42278</v>
      </c>
      <c r="D1017">
        <v>298.17</v>
      </c>
    </row>
    <row r="1018" spans="1:4" x14ac:dyDescent="0.25">
      <c r="A1018" t="s">
        <v>14</v>
      </c>
      <c r="B1018" t="s">
        <v>5</v>
      </c>
      <c r="C1018" s="3">
        <v>42309</v>
      </c>
      <c r="D1018">
        <v>310.14999999999998</v>
      </c>
    </row>
    <row r="1019" spans="1:4" x14ac:dyDescent="0.25">
      <c r="A1019" t="s">
        <v>14</v>
      </c>
      <c r="B1019" t="s">
        <v>5</v>
      </c>
      <c r="C1019" s="3">
        <v>42339</v>
      </c>
      <c r="D1019">
        <v>316.82</v>
      </c>
    </row>
    <row r="1020" spans="1:4" x14ac:dyDescent="0.25">
      <c r="A1020" t="s">
        <v>14</v>
      </c>
      <c r="B1020" t="s">
        <v>5</v>
      </c>
      <c r="C1020" s="3">
        <v>42370</v>
      </c>
      <c r="D1020">
        <v>349.75</v>
      </c>
    </row>
    <row r="1021" spans="1:4" x14ac:dyDescent="0.25">
      <c r="A1021" t="s">
        <v>14</v>
      </c>
      <c r="B1021" t="s">
        <v>5</v>
      </c>
      <c r="C1021" s="3">
        <v>42401</v>
      </c>
      <c r="D1021">
        <v>360.66</v>
      </c>
    </row>
    <row r="1022" spans="1:4" x14ac:dyDescent="0.25">
      <c r="A1022" t="s">
        <v>14</v>
      </c>
      <c r="B1022" t="s">
        <v>5</v>
      </c>
      <c r="C1022" s="3">
        <v>42430</v>
      </c>
      <c r="D1022">
        <v>351.88</v>
      </c>
    </row>
    <row r="1023" spans="1:4" x14ac:dyDescent="0.25">
      <c r="A1023" t="s">
        <v>14</v>
      </c>
      <c r="B1023" t="s">
        <v>5</v>
      </c>
      <c r="C1023" s="3">
        <v>42461</v>
      </c>
      <c r="D1023">
        <v>365.83</v>
      </c>
    </row>
    <row r="1024" spans="1:4" x14ac:dyDescent="0.25">
      <c r="A1024" t="s">
        <v>14</v>
      </c>
      <c r="B1024" t="s">
        <v>5</v>
      </c>
      <c r="C1024" s="3">
        <v>42491</v>
      </c>
      <c r="D1024">
        <v>361.39</v>
      </c>
    </row>
    <row r="1025" spans="1:4" x14ac:dyDescent="0.25">
      <c r="A1025" t="s">
        <v>14</v>
      </c>
      <c r="B1025" t="s">
        <v>5</v>
      </c>
      <c r="C1025" s="3">
        <v>42522</v>
      </c>
      <c r="D1025">
        <v>366.06</v>
      </c>
    </row>
    <row r="1026" spans="1:4" x14ac:dyDescent="0.25">
      <c r="A1026" t="s">
        <v>14</v>
      </c>
      <c r="B1026" t="s">
        <v>5</v>
      </c>
      <c r="C1026" s="3">
        <v>42552</v>
      </c>
      <c r="D1026">
        <v>387.24</v>
      </c>
    </row>
    <row r="1027" spans="1:4" x14ac:dyDescent="0.25">
      <c r="A1027" t="s">
        <v>14</v>
      </c>
      <c r="B1027" t="s">
        <v>5</v>
      </c>
      <c r="C1027" s="3">
        <v>42583</v>
      </c>
      <c r="D1027">
        <v>385.83</v>
      </c>
    </row>
    <row r="1028" spans="1:4" x14ac:dyDescent="0.25">
      <c r="A1028" t="s">
        <v>14</v>
      </c>
      <c r="B1028" t="s">
        <v>5</v>
      </c>
      <c r="C1028" s="3">
        <v>42614</v>
      </c>
      <c r="D1028">
        <v>386.92</v>
      </c>
    </row>
    <row r="1029" spans="1:4" x14ac:dyDescent="0.25">
      <c r="A1029" t="s">
        <v>14</v>
      </c>
      <c r="B1029" t="s">
        <v>5</v>
      </c>
      <c r="C1029" s="3">
        <v>42644</v>
      </c>
      <c r="D1029">
        <v>385.5</v>
      </c>
    </row>
    <row r="1030" spans="1:4" x14ac:dyDescent="0.25">
      <c r="A1030" t="s">
        <v>14</v>
      </c>
      <c r="B1030" t="s">
        <v>5</v>
      </c>
      <c r="C1030" s="3">
        <v>42675</v>
      </c>
      <c r="D1030">
        <v>370.65</v>
      </c>
    </row>
    <row r="1031" spans="1:4" x14ac:dyDescent="0.25">
      <c r="A1031" t="s">
        <v>14</v>
      </c>
      <c r="B1031" t="s">
        <v>5</v>
      </c>
      <c r="C1031" s="3">
        <v>42705</v>
      </c>
      <c r="D1031">
        <v>366.16</v>
      </c>
    </row>
    <row r="1032" spans="1:4" x14ac:dyDescent="0.25">
      <c r="A1032" t="s">
        <v>14</v>
      </c>
      <c r="B1032" t="s">
        <v>5</v>
      </c>
      <c r="C1032" s="3">
        <v>42736</v>
      </c>
      <c r="D1032">
        <v>368.95</v>
      </c>
    </row>
    <row r="1033" spans="1:4" x14ac:dyDescent="0.25">
      <c r="A1033" t="s">
        <v>14</v>
      </c>
      <c r="B1033" t="s">
        <v>5</v>
      </c>
      <c r="C1033" s="3">
        <v>42767</v>
      </c>
      <c r="D1033">
        <v>364.75</v>
      </c>
    </row>
    <row r="1034" spans="1:4" x14ac:dyDescent="0.25">
      <c r="A1034" t="s">
        <v>14</v>
      </c>
      <c r="B1034" t="s">
        <v>5</v>
      </c>
      <c r="C1034" s="3">
        <v>42795</v>
      </c>
      <c r="D1034">
        <v>374.18</v>
      </c>
    </row>
    <row r="1035" spans="1:4" x14ac:dyDescent="0.25">
      <c r="A1035" t="s">
        <v>14</v>
      </c>
      <c r="B1035" t="s">
        <v>5</v>
      </c>
      <c r="C1035" s="3">
        <v>42826</v>
      </c>
      <c r="D1035">
        <v>382.52</v>
      </c>
    </row>
    <row r="1036" spans="1:4" x14ac:dyDescent="0.25">
      <c r="A1036" t="s">
        <v>14</v>
      </c>
      <c r="B1036" t="s">
        <v>5</v>
      </c>
      <c r="C1036" s="3">
        <v>42856</v>
      </c>
      <c r="D1036">
        <v>383.81</v>
      </c>
    </row>
    <row r="1037" spans="1:4" x14ac:dyDescent="0.25">
      <c r="A1037" t="s">
        <v>14</v>
      </c>
      <c r="B1037" t="s">
        <v>5</v>
      </c>
      <c r="C1037" s="3">
        <v>42887</v>
      </c>
      <c r="D1037">
        <v>369.78</v>
      </c>
    </row>
    <row r="1038" spans="1:4" x14ac:dyDescent="0.25">
      <c r="A1038" t="s">
        <v>14</v>
      </c>
      <c r="B1038" t="s">
        <v>5</v>
      </c>
      <c r="C1038" s="3">
        <v>42917</v>
      </c>
      <c r="D1038">
        <v>361.41</v>
      </c>
    </row>
    <row r="1039" spans="1:4" x14ac:dyDescent="0.25">
      <c r="A1039" t="s">
        <v>14</v>
      </c>
      <c r="B1039" t="s">
        <v>5</v>
      </c>
      <c r="C1039" s="3">
        <v>42948</v>
      </c>
      <c r="D1039">
        <v>351.08</v>
      </c>
    </row>
    <row r="1040" spans="1:4" x14ac:dyDescent="0.25">
      <c r="A1040" t="s">
        <v>14</v>
      </c>
      <c r="B1040" t="s">
        <v>5</v>
      </c>
      <c r="C1040" s="3">
        <v>42979</v>
      </c>
      <c r="D1040">
        <v>334.86</v>
      </c>
    </row>
    <row r="1041" spans="1:4" x14ac:dyDescent="0.25">
      <c r="A1041" t="s">
        <v>14</v>
      </c>
      <c r="B1041" t="s">
        <v>5</v>
      </c>
      <c r="C1041" s="3">
        <v>43009</v>
      </c>
      <c r="D1041">
        <v>330.38</v>
      </c>
    </row>
    <row r="1042" spans="1:4" x14ac:dyDescent="0.25">
      <c r="A1042" t="s">
        <v>14</v>
      </c>
      <c r="B1042" t="s">
        <v>5</v>
      </c>
      <c r="C1042" s="3">
        <v>43040</v>
      </c>
      <c r="D1042">
        <v>324.89999999999998</v>
      </c>
    </row>
    <row r="1043" spans="1:4" x14ac:dyDescent="0.25">
      <c r="A1043" t="s">
        <v>14</v>
      </c>
      <c r="B1043" t="s">
        <v>5</v>
      </c>
      <c r="C1043" s="3">
        <v>43070</v>
      </c>
      <c r="D1043">
        <v>329.52</v>
      </c>
    </row>
    <row r="1044" spans="1:4" x14ac:dyDescent="0.25">
      <c r="A1044" t="s">
        <v>14</v>
      </c>
      <c r="B1044" t="s">
        <v>5</v>
      </c>
      <c r="C1044" s="3">
        <v>43101</v>
      </c>
      <c r="D1044">
        <v>368.76</v>
      </c>
    </row>
    <row r="1045" spans="1:4" x14ac:dyDescent="0.25">
      <c r="A1045" t="s">
        <v>14</v>
      </c>
      <c r="B1045" t="s">
        <v>5</v>
      </c>
      <c r="C1045" s="3">
        <v>43132</v>
      </c>
      <c r="D1045">
        <v>354.15</v>
      </c>
    </row>
    <row r="1046" spans="1:4" x14ac:dyDescent="0.25">
      <c r="A1046" t="s">
        <v>14</v>
      </c>
      <c r="B1046" t="s">
        <v>5</v>
      </c>
      <c r="C1046" s="3">
        <v>43160</v>
      </c>
      <c r="D1046">
        <v>349.83</v>
      </c>
    </row>
    <row r="1047" spans="1:4" x14ac:dyDescent="0.25">
      <c r="A1047" t="s">
        <v>14</v>
      </c>
      <c r="B1047" t="s">
        <v>5</v>
      </c>
      <c r="C1047" s="3">
        <v>43191</v>
      </c>
      <c r="D1047">
        <v>335.77</v>
      </c>
    </row>
    <row r="1048" spans="1:4" x14ac:dyDescent="0.25">
      <c r="A1048" t="s">
        <v>14</v>
      </c>
      <c r="B1048" t="s">
        <v>5</v>
      </c>
      <c r="C1048" s="3">
        <v>43221</v>
      </c>
      <c r="D1048">
        <v>346.42</v>
      </c>
    </row>
    <row r="1049" spans="1:4" x14ac:dyDescent="0.25">
      <c r="A1049" t="s">
        <v>14</v>
      </c>
      <c r="B1049" t="s">
        <v>5</v>
      </c>
      <c r="C1049" s="3">
        <v>43252</v>
      </c>
      <c r="D1049">
        <v>349.8</v>
      </c>
    </row>
    <row r="1050" spans="1:4" x14ac:dyDescent="0.25">
      <c r="A1050" t="s">
        <v>14</v>
      </c>
      <c r="B1050" t="s">
        <v>5</v>
      </c>
      <c r="C1050" s="3">
        <v>43282</v>
      </c>
      <c r="D1050">
        <v>347.15</v>
      </c>
    </row>
    <row r="1051" spans="1:4" x14ac:dyDescent="0.25">
      <c r="A1051" t="s">
        <v>14</v>
      </c>
      <c r="B1051" t="s">
        <v>5</v>
      </c>
      <c r="C1051" s="3">
        <v>43313</v>
      </c>
      <c r="D1051">
        <v>335.49</v>
      </c>
    </row>
    <row r="1052" spans="1:4" x14ac:dyDescent="0.25">
      <c r="A1052" t="s">
        <v>14</v>
      </c>
      <c r="B1052" t="s">
        <v>5</v>
      </c>
      <c r="C1052" s="3">
        <v>43344</v>
      </c>
      <c r="D1052">
        <v>328.99</v>
      </c>
    </row>
    <row r="1053" spans="1:4" x14ac:dyDescent="0.25">
      <c r="A1053" t="s">
        <v>14</v>
      </c>
      <c r="B1053" t="s">
        <v>5</v>
      </c>
      <c r="C1053" s="3">
        <v>43374</v>
      </c>
      <c r="D1053">
        <v>334.1</v>
      </c>
    </row>
    <row r="1054" spans="1:4" x14ac:dyDescent="0.25">
      <c r="A1054" t="s">
        <v>14</v>
      </c>
      <c r="B1054" t="s">
        <v>5</v>
      </c>
      <c r="C1054" s="3">
        <v>43405</v>
      </c>
      <c r="D1054">
        <v>339.39</v>
      </c>
    </row>
    <row r="1055" spans="1:4" x14ac:dyDescent="0.25">
      <c r="A1055" t="s">
        <v>14</v>
      </c>
      <c r="B1055" t="s">
        <v>5</v>
      </c>
      <c r="C1055" s="3">
        <v>43435</v>
      </c>
      <c r="D1055">
        <v>345.21</v>
      </c>
    </row>
    <row r="1056" spans="1:4" x14ac:dyDescent="0.25">
      <c r="A1056" t="s">
        <v>14</v>
      </c>
      <c r="B1056" t="s">
        <v>5</v>
      </c>
      <c r="C1056" s="3">
        <v>43466</v>
      </c>
      <c r="D1056">
        <v>360.92</v>
      </c>
    </row>
    <row r="1057" spans="1:4" x14ac:dyDescent="0.25">
      <c r="A1057" t="s">
        <v>14</v>
      </c>
      <c r="B1057" t="s">
        <v>5</v>
      </c>
      <c r="C1057" s="3">
        <v>43497</v>
      </c>
      <c r="D1057">
        <v>378.26</v>
      </c>
    </row>
    <row r="1058" spans="1:4" x14ac:dyDescent="0.25">
      <c r="A1058" t="s">
        <v>14</v>
      </c>
      <c r="B1058" t="s">
        <v>5</v>
      </c>
      <c r="C1058" s="3">
        <v>43525</v>
      </c>
      <c r="D1058">
        <v>400.38</v>
      </c>
    </row>
    <row r="1059" spans="1:4" x14ac:dyDescent="0.25">
      <c r="A1059" t="s">
        <v>14</v>
      </c>
      <c r="B1059" t="s">
        <v>5</v>
      </c>
      <c r="C1059" s="3">
        <v>43556</v>
      </c>
      <c r="D1059">
        <v>412.27</v>
      </c>
    </row>
    <row r="1060" spans="1:4" x14ac:dyDescent="0.25">
      <c r="A1060" t="s">
        <v>14</v>
      </c>
      <c r="B1060" t="s">
        <v>5</v>
      </c>
      <c r="C1060" s="3">
        <v>43586</v>
      </c>
      <c r="D1060">
        <v>403.57</v>
      </c>
    </row>
    <row r="1061" spans="1:4" x14ac:dyDescent="0.25">
      <c r="A1061" t="s">
        <v>14</v>
      </c>
      <c r="B1061" t="s">
        <v>5</v>
      </c>
      <c r="C1061" s="3">
        <v>43617</v>
      </c>
      <c r="D1061">
        <v>398.72</v>
      </c>
    </row>
    <row r="1062" spans="1:4" x14ac:dyDescent="0.25">
      <c r="A1062" t="s">
        <v>14</v>
      </c>
      <c r="B1062" t="s">
        <v>5</v>
      </c>
      <c r="C1062" s="3">
        <v>43647</v>
      </c>
      <c r="D1062">
        <v>385.58</v>
      </c>
    </row>
    <row r="1063" spans="1:4" x14ac:dyDescent="0.25">
      <c r="A1063" t="s">
        <v>14</v>
      </c>
      <c r="B1063" t="s">
        <v>5</v>
      </c>
      <c r="C1063" s="3">
        <v>43678</v>
      </c>
      <c r="D1063">
        <v>367.86</v>
      </c>
    </row>
    <row r="1064" spans="1:4" x14ac:dyDescent="0.25">
      <c r="A1064" t="s">
        <v>14</v>
      </c>
      <c r="B1064" t="s">
        <v>5</v>
      </c>
      <c r="C1064" s="3">
        <v>43709</v>
      </c>
      <c r="D1064">
        <v>359.62</v>
      </c>
    </row>
    <row r="1065" spans="1:4" x14ac:dyDescent="0.25">
      <c r="A1065" t="s">
        <v>14</v>
      </c>
      <c r="B1065" t="s">
        <v>5</v>
      </c>
      <c r="C1065" s="3">
        <v>43739</v>
      </c>
      <c r="D1065">
        <v>351.19</v>
      </c>
    </row>
    <row r="1066" spans="1:4" x14ac:dyDescent="0.25">
      <c r="A1066" t="s">
        <v>14</v>
      </c>
      <c r="B1066" t="s">
        <v>5</v>
      </c>
      <c r="C1066" s="3">
        <v>43770</v>
      </c>
      <c r="D1066">
        <v>347.14</v>
      </c>
    </row>
    <row r="1067" spans="1:4" x14ac:dyDescent="0.25">
      <c r="A1067" t="s">
        <v>14</v>
      </c>
      <c r="B1067" t="s">
        <v>5</v>
      </c>
      <c r="C1067" s="3">
        <v>43800</v>
      </c>
      <c r="D1067">
        <v>373.56</v>
      </c>
    </row>
    <row r="1068" spans="1:4" x14ac:dyDescent="0.25">
      <c r="A1068" t="s">
        <v>14</v>
      </c>
      <c r="B1068" t="s">
        <v>5</v>
      </c>
      <c r="C1068" s="3">
        <v>43831</v>
      </c>
      <c r="D1068">
        <v>388.02</v>
      </c>
    </row>
    <row r="1069" spans="1:4" x14ac:dyDescent="0.25">
      <c r="A1069" t="s">
        <v>14</v>
      </c>
      <c r="B1069" t="s">
        <v>5</v>
      </c>
      <c r="C1069" s="3">
        <v>43862</v>
      </c>
      <c r="D1069">
        <v>403.98</v>
      </c>
    </row>
    <row r="1070" spans="1:4" x14ac:dyDescent="0.25">
      <c r="A1070" t="s">
        <v>14</v>
      </c>
      <c r="B1070" t="s">
        <v>5</v>
      </c>
      <c r="C1070" s="3">
        <v>43891</v>
      </c>
      <c r="D1070">
        <v>414.05</v>
      </c>
    </row>
    <row r="1071" spans="1:4" x14ac:dyDescent="0.25">
      <c r="A1071" t="s">
        <v>14</v>
      </c>
      <c r="B1071" t="s">
        <v>5</v>
      </c>
      <c r="C1071" s="3">
        <v>43922</v>
      </c>
      <c r="D1071">
        <v>437.93</v>
      </c>
    </row>
    <row r="1072" spans="1:4" x14ac:dyDescent="0.25">
      <c r="A1072" t="s">
        <v>14</v>
      </c>
      <c r="B1072" t="s">
        <v>5</v>
      </c>
      <c r="C1072" s="3">
        <v>43952</v>
      </c>
      <c r="D1072">
        <v>440.25</v>
      </c>
    </row>
    <row r="1073" spans="1:4" x14ac:dyDescent="0.25">
      <c r="A1073" t="s">
        <v>14</v>
      </c>
      <c r="B1073" t="s">
        <v>5</v>
      </c>
      <c r="C1073" s="3">
        <v>43983</v>
      </c>
      <c r="D1073">
        <v>430.44</v>
      </c>
    </row>
    <row r="1074" spans="1:4" x14ac:dyDescent="0.25">
      <c r="A1074" t="s">
        <v>14</v>
      </c>
      <c r="B1074" t="s">
        <v>5</v>
      </c>
      <c r="C1074" s="3">
        <v>44013</v>
      </c>
      <c r="D1074">
        <v>417.75</v>
      </c>
    </row>
    <row r="1075" spans="1:4" x14ac:dyDescent="0.25">
      <c r="A1075" t="s">
        <v>14</v>
      </c>
      <c r="B1075" t="s">
        <v>5</v>
      </c>
      <c r="C1075" s="3">
        <v>44044</v>
      </c>
      <c r="D1075">
        <v>414.5</v>
      </c>
    </row>
    <row r="1076" spans="1:4" x14ac:dyDescent="0.25">
      <c r="A1076" t="s">
        <v>14</v>
      </c>
      <c r="B1076" t="s">
        <v>5</v>
      </c>
      <c r="C1076" s="3">
        <v>44075</v>
      </c>
      <c r="D1076">
        <v>432.04</v>
      </c>
    </row>
    <row r="1077" spans="1:4" x14ac:dyDescent="0.25">
      <c r="A1077" t="s">
        <v>14</v>
      </c>
      <c r="B1077" t="s">
        <v>5</v>
      </c>
      <c r="C1077" s="3">
        <v>44105</v>
      </c>
      <c r="D1077">
        <v>449.97</v>
      </c>
    </row>
    <row r="1078" spans="1:4" x14ac:dyDescent="0.25">
      <c r="A1078" t="s">
        <v>14</v>
      </c>
      <c r="B1078" t="s">
        <v>5</v>
      </c>
      <c r="C1078" s="3">
        <v>44136</v>
      </c>
      <c r="D1078">
        <v>454.85</v>
      </c>
    </row>
    <row r="1079" spans="1:4" x14ac:dyDescent="0.25">
      <c r="A1079" t="s">
        <v>14</v>
      </c>
      <c r="B1079" t="s">
        <v>5</v>
      </c>
      <c r="C1079" s="3">
        <v>44166</v>
      </c>
      <c r="D1079">
        <v>475.19</v>
      </c>
    </row>
    <row r="1080" spans="1:4" x14ac:dyDescent="0.25">
      <c r="A1080" t="s">
        <v>14</v>
      </c>
      <c r="B1080" t="s">
        <v>5</v>
      </c>
      <c r="C1080" s="3">
        <v>44197</v>
      </c>
      <c r="D1080">
        <v>471.87</v>
      </c>
    </row>
    <row r="1081" spans="1:4" x14ac:dyDescent="0.25">
      <c r="A1081" t="s">
        <v>14</v>
      </c>
      <c r="B1081" t="s">
        <v>5</v>
      </c>
      <c r="C1081" s="3">
        <v>44228</v>
      </c>
      <c r="D1081">
        <v>484.54</v>
      </c>
    </row>
    <row r="1082" spans="1:4" x14ac:dyDescent="0.25">
      <c r="A1082" t="s">
        <v>14</v>
      </c>
      <c r="B1082" t="s">
        <v>5</v>
      </c>
      <c r="C1082" s="3">
        <v>44256</v>
      </c>
      <c r="D1082">
        <v>478.52</v>
      </c>
    </row>
    <row r="1083" spans="1:4" x14ac:dyDescent="0.25">
      <c r="A1083" t="s">
        <v>14</v>
      </c>
      <c r="B1083" t="s">
        <v>5</v>
      </c>
      <c r="C1083" s="3">
        <v>44287</v>
      </c>
      <c r="D1083">
        <v>490.04</v>
      </c>
    </row>
    <row r="1084" spans="1:4" x14ac:dyDescent="0.25">
      <c r="A1084" t="s">
        <v>14</v>
      </c>
      <c r="B1084" t="s">
        <v>5</v>
      </c>
      <c r="C1084" s="3">
        <v>44317</v>
      </c>
      <c r="D1084">
        <v>491.63</v>
      </c>
    </row>
    <row r="1085" spans="1:4" x14ac:dyDescent="0.25">
      <c r="A1085" t="s">
        <v>14</v>
      </c>
      <c r="B1085" t="s">
        <v>5</v>
      </c>
      <c r="C1085" s="3">
        <v>44348</v>
      </c>
      <c r="D1085">
        <v>495.76</v>
      </c>
    </row>
    <row r="1086" spans="1:4" x14ac:dyDescent="0.25">
      <c r="A1086" t="s">
        <v>14</v>
      </c>
      <c r="B1086" t="s">
        <v>5</v>
      </c>
      <c r="C1086" s="3">
        <v>44378</v>
      </c>
      <c r="D1086">
        <v>492.3</v>
      </c>
    </row>
    <row r="1087" spans="1:4" x14ac:dyDescent="0.25">
      <c r="A1087" t="s">
        <v>14</v>
      </c>
      <c r="B1087" t="s">
        <v>5</v>
      </c>
      <c r="C1087" s="3">
        <v>44409</v>
      </c>
      <c r="D1087">
        <v>490.93</v>
      </c>
    </row>
    <row r="1088" spans="1:4" x14ac:dyDescent="0.25">
      <c r="A1088" t="s">
        <v>14</v>
      </c>
      <c r="B1088" t="s">
        <v>5</v>
      </c>
      <c r="C1088" s="3">
        <v>44440</v>
      </c>
      <c r="D1088">
        <v>476.63</v>
      </c>
    </row>
    <row r="1089" spans="1:4" x14ac:dyDescent="0.25">
      <c r="A1089" t="s">
        <v>14</v>
      </c>
      <c r="B1089" t="s">
        <v>5</v>
      </c>
      <c r="C1089" s="3">
        <v>44470</v>
      </c>
      <c r="D1089">
        <v>491.12</v>
      </c>
    </row>
    <row r="1090" spans="1:4" x14ac:dyDescent="0.25">
      <c r="A1090" t="s">
        <v>14</v>
      </c>
      <c r="B1090" t="s">
        <v>5</v>
      </c>
      <c r="C1090" s="3">
        <v>44501</v>
      </c>
      <c r="D1090">
        <v>508.91</v>
      </c>
    </row>
    <row r="1091" spans="1:4" x14ac:dyDescent="0.25">
      <c r="A1091" t="s">
        <v>14</v>
      </c>
      <c r="B1091" t="s">
        <v>5</v>
      </c>
      <c r="C1091" s="3">
        <v>44531</v>
      </c>
      <c r="D1091">
        <v>510.82</v>
      </c>
    </row>
    <row r="1092" spans="1:4" x14ac:dyDescent="0.25">
      <c r="A1092" t="s">
        <v>14</v>
      </c>
      <c r="B1092" t="s">
        <v>5</v>
      </c>
      <c r="C1092" s="3">
        <v>44562</v>
      </c>
      <c r="D1092">
        <v>538.65</v>
      </c>
    </row>
    <row r="1093" spans="1:4" x14ac:dyDescent="0.25">
      <c r="A1093" t="s">
        <v>14</v>
      </c>
      <c r="B1093" t="s">
        <v>5</v>
      </c>
      <c r="C1093" s="3">
        <v>44593</v>
      </c>
      <c r="D1093">
        <v>549.33000000000004</v>
      </c>
    </row>
    <row r="1094" spans="1:4" x14ac:dyDescent="0.25">
      <c r="A1094" t="s">
        <v>14</v>
      </c>
      <c r="B1094" t="s">
        <v>5</v>
      </c>
      <c r="C1094" s="3">
        <v>44621</v>
      </c>
      <c r="D1094">
        <v>567.84</v>
      </c>
    </row>
    <row r="1095" spans="1:4" x14ac:dyDescent="0.25">
      <c r="A1095" t="s">
        <v>14</v>
      </c>
      <c r="B1095" t="s">
        <v>5</v>
      </c>
      <c r="C1095" s="3">
        <v>44652</v>
      </c>
      <c r="D1095">
        <v>573.70000000000005</v>
      </c>
    </row>
    <row r="1096" spans="1:4" x14ac:dyDescent="0.25">
      <c r="A1096" t="s">
        <v>14</v>
      </c>
      <c r="B1096" t="s">
        <v>5</v>
      </c>
      <c r="C1096" s="3">
        <v>44682</v>
      </c>
      <c r="D1096">
        <v>567.66999999999996</v>
      </c>
    </row>
    <row r="1097" spans="1:4" x14ac:dyDescent="0.25">
      <c r="A1097" t="s">
        <v>14</v>
      </c>
      <c r="B1097" t="s">
        <v>5</v>
      </c>
      <c r="C1097" s="3">
        <v>44713</v>
      </c>
      <c r="D1097">
        <v>586.73</v>
      </c>
    </row>
    <row r="1098" spans="1:4" x14ac:dyDescent="0.25">
      <c r="A1098" t="s">
        <v>14</v>
      </c>
      <c r="B1098" t="s">
        <v>5</v>
      </c>
      <c r="C1098" s="3">
        <v>44743</v>
      </c>
      <c r="D1098">
        <v>572.63</v>
      </c>
    </row>
    <row r="1099" spans="1:4" x14ac:dyDescent="0.25">
      <c r="A1099" t="s">
        <v>14</v>
      </c>
      <c r="B1099" t="s">
        <v>5</v>
      </c>
      <c r="C1099" s="3">
        <v>44774</v>
      </c>
      <c r="D1099">
        <v>568.21</v>
      </c>
    </row>
    <row r="1100" spans="1:4" x14ac:dyDescent="0.25">
      <c r="A1100" t="s">
        <v>14</v>
      </c>
      <c r="B1100" t="s">
        <v>5</v>
      </c>
      <c r="C1100" s="3">
        <v>44805</v>
      </c>
      <c r="D1100">
        <v>562.32000000000005</v>
      </c>
    </row>
    <row r="1101" spans="1:4" x14ac:dyDescent="0.25">
      <c r="A1101" t="s">
        <v>14</v>
      </c>
      <c r="B1101" t="s">
        <v>5</v>
      </c>
      <c r="C1101" s="3">
        <v>44835</v>
      </c>
      <c r="D1101">
        <v>559.57000000000005</v>
      </c>
    </row>
    <row r="1102" spans="1:4" x14ac:dyDescent="0.25">
      <c r="A1102" t="s">
        <v>14</v>
      </c>
      <c r="B1102" t="s">
        <v>5</v>
      </c>
      <c r="C1102" s="3">
        <v>44866</v>
      </c>
      <c r="D1102">
        <v>552.42999999999995</v>
      </c>
    </row>
    <row r="1103" spans="1:4" x14ac:dyDescent="0.25">
      <c r="A1103" t="s">
        <v>14</v>
      </c>
      <c r="B1103" t="s">
        <v>5</v>
      </c>
      <c r="C1103" s="3">
        <v>44896</v>
      </c>
      <c r="D1103">
        <v>561.84</v>
      </c>
    </row>
    <row r="1104" spans="1:4" x14ac:dyDescent="0.25">
      <c r="A1104" t="s">
        <v>14</v>
      </c>
      <c r="B1104" t="s">
        <v>5</v>
      </c>
      <c r="C1104" s="3">
        <v>44927</v>
      </c>
      <c r="D1104">
        <v>600.05999999999995</v>
      </c>
    </row>
    <row r="1105" spans="1:4" x14ac:dyDescent="0.25">
      <c r="A1105" t="s">
        <v>14</v>
      </c>
      <c r="B1105" t="s">
        <v>5</v>
      </c>
      <c r="C1105" s="3">
        <v>44958</v>
      </c>
      <c r="D1105">
        <v>600.1</v>
      </c>
    </row>
    <row r="1106" spans="1:4" x14ac:dyDescent="0.25">
      <c r="A1106" t="s">
        <v>14</v>
      </c>
      <c r="B1106" t="s">
        <v>5</v>
      </c>
      <c r="C1106" s="3">
        <v>44986</v>
      </c>
      <c r="D1106">
        <v>579.57000000000005</v>
      </c>
    </row>
    <row r="1107" spans="1:4" x14ac:dyDescent="0.25">
      <c r="A1107" t="s">
        <v>14</v>
      </c>
      <c r="B1107" t="s">
        <v>5</v>
      </c>
      <c r="C1107" s="3">
        <v>45017</v>
      </c>
      <c r="D1107">
        <v>585.41999999999996</v>
      </c>
    </row>
    <row r="1108" spans="1:4" x14ac:dyDescent="0.25">
      <c r="A1108" t="s">
        <v>14</v>
      </c>
      <c r="B1108" t="s">
        <v>5</v>
      </c>
      <c r="C1108" s="3">
        <v>45047</v>
      </c>
      <c r="D1108">
        <v>580.95000000000005</v>
      </c>
    </row>
    <row r="1109" spans="1:4" x14ac:dyDescent="0.25">
      <c r="A1109" t="s">
        <v>14</v>
      </c>
      <c r="B1109" t="s">
        <v>5</v>
      </c>
      <c r="C1109" s="3">
        <v>45078</v>
      </c>
      <c r="D1109">
        <v>604.89</v>
      </c>
    </row>
    <row r="1110" spans="1:4" x14ac:dyDescent="0.25">
      <c r="A1110" t="s">
        <v>14</v>
      </c>
      <c r="B1110" t="s">
        <v>5</v>
      </c>
      <c r="C1110" s="3">
        <v>45108</v>
      </c>
      <c r="D1110">
        <v>581.30999999999995</v>
      </c>
    </row>
    <row r="1111" spans="1:4" x14ac:dyDescent="0.25">
      <c r="A1111" t="s">
        <v>14</v>
      </c>
      <c r="B1111" t="s">
        <v>5</v>
      </c>
      <c r="C1111" s="3">
        <v>45139</v>
      </c>
      <c r="D1111">
        <v>565.07000000000005</v>
      </c>
    </row>
    <row r="1112" spans="1:4" x14ac:dyDescent="0.25">
      <c r="A1112" t="s">
        <v>14</v>
      </c>
      <c r="B1112" t="s">
        <v>5</v>
      </c>
      <c r="C1112" s="3">
        <v>45170</v>
      </c>
      <c r="D1112">
        <v>562.6</v>
      </c>
    </row>
    <row r="1113" spans="1:4" x14ac:dyDescent="0.25">
      <c r="A1113" t="s">
        <v>14</v>
      </c>
      <c r="B1113" t="s">
        <v>5</v>
      </c>
      <c r="C1113" s="3">
        <v>45200</v>
      </c>
      <c r="D1113">
        <v>554.88</v>
      </c>
    </row>
    <row r="1114" spans="1:4" x14ac:dyDescent="0.25">
      <c r="A1114" t="s">
        <v>14</v>
      </c>
      <c r="B1114" t="s">
        <v>5</v>
      </c>
      <c r="C1114" s="3">
        <v>45231</v>
      </c>
      <c r="D1114">
        <v>548.33000000000004</v>
      </c>
    </row>
    <row r="1115" spans="1:4" x14ac:dyDescent="0.25">
      <c r="A1115" t="s">
        <v>14</v>
      </c>
      <c r="B1115" t="s">
        <v>5</v>
      </c>
      <c r="C1115" s="3">
        <v>45261</v>
      </c>
      <c r="D1115">
        <v>542.29999999999995</v>
      </c>
    </row>
    <row r="1116" spans="1:4" x14ac:dyDescent="0.25">
      <c r="A1116" t="s">
        <v>14</v>
      </c>
      <c r="B1116" t="s">
        <v>5</v>
      </c>
      <c r="C1116" s="3">
        <v>45292</v>
      </c>
      <c r="D1116">
        <v>559.77</v>
      </c>
    </row>
    <row r="1117" spans="1:4" x14ac:dyDescent="0.25">
      <c r="A1117" t="s">
        <v>14</v>
      </c>
      <c r="B1117" t="s">
        <v>5</v>
      </c>
      <c r="C1117" s="3">
        <v>45323</v>
      </c>
      <c r="D1117">
        <v>564.5</v>
      </c>
    </row>
    <row r="1118" spans="1:4" x14ac:dyDescent="0.25">
      <c r="A1118" t="s">
        <v>14</v>
      </c>
      <c r="B1118" t="s">
        <v>5</v>
      </c>
      <c r="C1118" s="3">
        <v>45352</v>
      </c>
      <c r="D1118">
        <v>583.23</v>
      </c>
    </row>
    <row r="1119" spans="1:4" x14ac:dyDescent="0.25">
      <c r="A1119" t="s">
        <v>14</v>
      </c>
      <c r="B1119" t="s">
        <v>5</v>
      </c>
      <c r="C1119" s="3">
        <v>45383</v>
      </c>
      <c r="D1119">
        <v>614.75</v>
      </c>
    </row>
    <row r="1120" spans="1:4" x14ac:dyDescent="0.25">
      <c r="A1120" t="s">
        <v>14</v>
      </c>
      <c r="B1120" t="s">
        <v>5</v>
      </c>
      <c r="C1120" s="3">
        <v>45413</v>
      </c>
      <c r="D1120">
        <v>620.66999999999996</v>
      </c>
    </row>
    <row r="1121" spans="1:4" x14ac:dyDescent="0.25">
      <c r="A1121" t="s">
        <v>14</v>
      </c>
      <c r="B1121" t="s">
        <v>5</v>
      </c>
      <c r="C1121" s="3">
        <v>45444</v>
      </c>
      <c r="D1121">
        <v>597.32000000000005</v>
      </c>
    </row>
    <row r="1122" spans="1:4" x14ac:dyDescent="0.25">
      <c r="A1122" t="s">
        <v>14</v>
      </c>
      <c r="B1122" t="s">
        <v>5</v>
      </c>
      <c r="C1122" s="3">
        <v>45474</v>
      </c>
      <c r="D1122">
        <v>572.38</v>
      </c>
    </row>
    <row r="1123" spans="1:4" x14ac:dyDescent="0.25">
      <c r="A1123" t="s">
        <v>14</v>
      </c>
      <c r="B1123" t="s">
        <v>5</v>
      </c>
      <c r="C1123" s="3">
        <v>45505</v>
      </c>
      <c r="D1123">
        <v>548.9</v>
      </c>
    </row>
    <row r="1124" spans="1:4" x14ac:dyDescent="0.25">
      <c r="A1124" t="s">
        <v>14</v>
      </c>
      <c r="B1124" t="s">
        <v>5</v>
      </c>
      <c r="C1124" s="3">
        <v>45536</v>
      </c>
      <c r="D1124">
        <v>552.35</v>
      </c>
    </row>
    <row r="1125" spans="1:4" x14ac:dyDescent="0.25">
      <c r="A1125" t="s">
        <v>14</v>
      </c>
      <c r="B1125" t="s">
        <v>5</v>
      </c>
      <c r="C1125" s="3">
        <v>45566</v>
      </c>
      <c r="D1125">
        <v>566.46</v>
      </c>
    </row>
    <row r="1126" spans="1:4" x14ac:dyDescent="0.25">
      <c r="A1126" t="s">
        <v>14</v>
      </c>
      <c r="B1126" t="s">
        <v>5</v>
      </c>
      <c r="C1126" s="3">
        <v>45597</v>
      </c>
      <c r="D1126">
        <v>590.82000000000005</v>
      </c>
    </row>
    <row r="1127" spans="1:4" x14ac:dyDescent="0.25">
      <c r="A1127" t="s">
        <v>14</v>
      </c>
      <c r="B1127" t="s">
        <v>5</v>
      </c>
      <c r="C1127" s="3">
        <v>45627</v>
      </c>
      <c r="D1127">
        <v>606.91</v>
      </c>
    </row>
    <row r="1128" spans="1:4" x14ac:dyDescent="0.25">
      <c r="A1128" t="s">
        <v>14</v>
      </c>
      <c r="B1128" t="s">
        <v>5</v>
      </c>
      <c r="C1128" s="3">
        <v>45658</v>
      </c>
      <c r="D1128">
        <v>618.64</v>
      </c>
    </row>
    <row r="1129" spans="1:4" x14ac:dyDescent="0.25">
      <c r="A1129" t="s">
        <v>14</v>
      </c>
      <c r="B1129" t="s">
        <v>5</v>
      </c>
      <c r="C1129" s="3">
        <v>45689</v>
      </c>
      <c r="D1129">
        <v>634.41</v>
      </c>
    </row>
    <row r="1130" spans="1:4" x14ac:dyDescent="0.25">
      <c r="A1130" t="s">
        <v>14</v>
      </c>
      <c r="B1130" t="s">
        <v>5</v>
      </c>
      <c r="C1130" s="3">
        <v>45717</v>
      </c>
      <c r="D1130">
        <v>626.89</v>
      </c>
    </row>
    <row r="1131" spans="1:4" x14ac:dyDescent="0.25">
      <c r="A1131" t="s">
        <v>14</v>
      </c>
      <c r="B1131" t="s">
        <v>5</v>
      </c>
      <c r="C1131" s="3">
        <v>45748</v>
      </c>
      <c r="D1131">
        <v>641.57000000000005</v>
      </c>
    </row>
    <row r="1132" spans="1:4" x14ac:dyDescent="0.25">
      <c r="A1132" t="s">
        <v>14</v>
      </c>
      <c r="B1132" t="s">
        <v>5</v>
      </c>
      <c r="C1132" s="3">
        <v>45778</v>
      </c>
      <c r="D1132">
        <v>636.73</v>
      </c>
    </row>
    <row r="1133" spans="1:4" x14ac:dyDescent="0.25">
      <c r="A1133" t="s">
        <v>14</v>
      </c>
      <c r="B1133" t="s">
        <v>5</v>
      </c>
      <c r="C1133" s="3">
        <v>45809</v>
      </c>
      <c r="D1133">
        <v>636.16</v>
      </c>
    </row>
    <row r="1134" spans="1:4" x14ac:dyDescent="0.25">
      <c r="A1134" t="s">
        <v>15</v>
      </c>
      <c r="B1134" t="s">
        <v>5</v>
      </c>
      <c r="C1134" s="3">
        <v>42005</v>
      </c>
      <c r="D1134">
        <v>277.56</v>
      </c>
    </row>
    <row r="1135" spans="1:4" x14ac:dyDescent="0.25">
      <c r="A1135" t="s">
        <v>15</v>
      </c>
      <c r="B1135" t="s">
        <v>5</v>
      </c>
      <c r="C1135" s="3">
        <v>42036</v>
      </c>
      <c r="D1135">
        <v>289.64999999999998</v>
      </c>
    </row>
    <row r="1136" spans="1:4" x14ac:dyDescent="0.25">
      <c r="A1136" t="s">
        <v>15</v>
      </c>
      <c r="B1136" t="s">
        <v>5</v>
      </c>
      <c r="C1136" s="3">
        <v>42064</v>
      </c>
      <c r="D1136">
        <v>289.20999999999998</v>
      </c>
    </row>
    <row r="1137" spans="1:4" x14ac:dyDescent="0.25">
      <c r="A1137" t="s">
        <v>15</v>
      </c>
      <c r="B1137" t="s">
        <v>5</v>
      </c>
      <c r="C1137" s="3">
        <v>42095</v>
      </c>
      <c r="D1137">
        <v>300.73</v>
      </c>
    </row>
    <row r="1138" spans="1:4" x14ac:dyDescent="0.25">
      <c r="A1138" t="s">
        <v>15</v>
      </c>
      <c r="B1138" t="s">
        <v>5</v>
      </c>
      <c r="C1138" s="3">
        <v>42125</v>
      </c>
      <c r="D1138">
        <v>312.41000000000003</v>
      </c>
    </row>
    <row r="1139" spans="1:4" x14ac:dyDescent="0.25">
      <c r="A1139" t="s">
        <v>15</v>
      </c>
      <c r="B1139" t="s">
        <v>5</v>
      </c>
      <c r="C1139" s="3">
        <v>42156</v>
      </c>
      <c r="D1139">
        <v>302.76</v>
      </c>
    </row>
    <row r="1140" spans="1:4" x14ac:dyDescent="0.25">
      <c r="A1140" t="s">
        <v>15</v>
      </c>
      <c r="B1140" t="s">
        <v>5</v>
      </c>
      <c r="C1140" s="3">
        <v>42186</v>
      </c>
      <c r="D1140">
        <v>293.58</v>
      </c>
    </row>
    <row r="1141" spans="1:4" x14ac:dyDescent="0.25">
      <c r="A1141" t="s">
        <v>15</v>
      </c>
      <c r="B1141" t="s">
        <v>5</v>
      </c>
      <c r="C1141" s="3">
        <v>42217</v>
      </c>
      <c r="D1141">
        <v>286.36</v>
      </c>
    </row>
    <row r="1142" spans="1:4" x14ac:dyDescent="0.25">
      <c r="A1142" t="s">
        <v>15</v>
      </c>
      <c r="B1142" t="s">
        <v>5</v>
      </c>
      <c r="C1142" s="3">
        <v>42248</v>
      </c>
      <c r="D1142">
        <v>282.72000000000003</v>
      </c>
    </row>
    <row r="1143" spans="1:4" x14ac:dyDescent="0.25">
      <c r="A1143" t="s">
        <v>15</v>
      </c>
      <c r="B1143" t="s">
        <v>5</v>
      </c>
      <c r="C1143" s="3">
        <v>42278</v>
      </c>
      <c r="D1143">
        <v>285.47000000000003</v>
      </c>
    </row>
    <row r="1144" spans="1:4" x14ac:dyDescent="0.25">
      <c r="A1144" t="s">
        <v>15</v>
      </c>
      <c r="B1144" t="s">
        <v>5</v>
      </c>
      <c r="C1144" s="3">
        <v>42309</v>
      </c>
      <c r="D1144">
        <v>302.14</v>
      </c>
    </row>
    <row r="1145" spans="1:4" x14ac:dyDescent="0.25">
      <c r="A1145" t="s">
        <v>15</v>
      </c>
      <c r="B1145" t="s">
        <v>5</v>
      </c>
      <c r="C1145" s="3">
        <v>42339</v>
      </c>
      <c r="D1145">
        <v>309.92</v>
      </c>
    </row>
    <row r="1146" spans="1:4" x14ac:dyDescent="0.25">
      <c r="A1146" t="s">
        <v>15</v>
      </c>
      <c r="B1146" t="s">
        <v>5</v>
      </c>
      <c r="C1146" s="3">
        <v>42370</v>
      </c>
      <c r="D1146">
        <v>329.2</v>
      </c>
    </row>
    <row r="1147" spans="1:4" x14ac:dyDescent="0.25">
      <c r="A1147" t="s">
        <v>15</v>
      </c>
      <c r="B1147" t="s">
        <v>5</v>
      </c>
      <c r="C1147" s="3">
        <v>42401</v>
      </c>
      <c r="D1147">
        <v>331.79</v>
      </c>
    </row>
    <row r="1148" spans="1:4" x14ac:dyDescent="0.25">
      <c r="A1148" t="s">
        <v>15</v>
      </c>
      <c r="B1148" t="s">
        <v>5</v>
      </c>
      <c r="C1148" s="3">
        <v>42430</v>
      </c>
      <c r="D1148">
        <v>325.98</v>
      </c>
    </row>
    <row r="1149" spans="1:4" x14ac:dyDescent="0.25">
      <c r="A1149" t="s">
        <v>15</v>
      </c>
      <c r="B1149" t="s">
        <v>5</v>
      </c>
      <c r="C1149" s="3">
        <v>42461</v>
      </c>
      <c r="D1149">
        <v>334.49</v>
      </c>
    </row>
    <row r="1150" spans="1:4" x14ac:dyDescent="0.25">
      <c r="A1150" t="s">
        <v>15</v>
      </c>
      <c r="B1150" t="s">
        <v>5</v>
      </c>
      <c r="C1150" s="3">
        <v>42491</v>
      </c>
      <c r="D1150">
        <v>337.49</v>
      </c>
    </row>
    <row r="1151" spans="1:4" x14ac:dyDescent="0.25">
      <c r="A1151" t="s">
        <v>15</v>
      </c>
      <c r="B1151" t="s">
        <v>5</v>
      </c>
      <c r="C1151" s="3">
        <v>42522</v>
      </c>
      <c r="D1151">
        <v>352.12</v>
      </c>
    </row>
    <row r="1152" spans="1:4" x14ac:dyDescent="0.25">
      <c r="A1152" t="s">
        <v>15</v>
      </c>
      <c r="B1152" t="s">
        <v>5</v>
      </c>
      <c r="C1152" s="3">
        <v>42552</v>
      </c>
      <c r="D1152">
        <v>362.63</v>
      </c>
    </row>
    <row r="1153" spans="1:4" x14ac:dyDescent="0.25">
      <c r="A1153" t="s">
        <v>15</v>
      </c>
      <c r="B1153" t="s">
        <v>5</v>
      </c>
      <c r="C1153" s="3">
        <v>42583</v>
      </c>
      <c r="D1153">
        <v>365.46</v>
      </c>
    </row>
    <row r="1154" spans="1:4" x14ac:dyDescent="0.25">
      <c r="A1154" t="s">
        <v>15</v>
      </c>
      <c r="B1154" t="s">
        <v>5</v>
      </c>
      <c r="C1154" s="3">
        <v>42614</v>
      </c>
      <c r="D1154">
        <v>367.54</v>
      </c>
    </row>
    <row r="1155" spans="1:4" x14ac:dyDescent="0.25">
      <c r="A1155" t="s">
        <v>15</v>
      </c>
      <c r="B1155" t="s">
        <v>5</v>
      </c>
      <c r="C1155" s="3">
        <v>42644</v>
      </c>
      <c r="D1155">
        <v>366.9</v>
      </c>
    </row>
    <row r="1156" spans="1:4" x14ac:dyDescent="0.25">
      <c r="A1156" t="s">
        <v>15</v>
      </c>
      <c r="B1156" t="s">
        <v>5</v>
      </c>
      <c r="C1156" s="3">
        <v>42675</v>
      </c>
      <c r="D1156">
        <v>354.59</v>
      </c>
    </row>
    <row r="1157" spans="1:4" x14ac:dyDescent="0.25">
      <c r="A1157" t="s">
        <v>15</v>
      </c>
      <c r="B1157" t="s">
        <v>5</v>
      </c>
      <c r="C1157" s="3">
        <v>42705</v>
      </c>
      <c r="D1157">
        <v>351.96</v>
      </c>
    </row>
    <row r="1158" spans="1:4" x14ac:dyDescent="0.25">
      <c r="A1158" t="s">
        <v>15</v>
      </c>
      <c r="B1158" t="s">
        <v>5</v>
      </c>
      <c r="C1158" s="3">
        <v>42736</v>
      </c>
      <c r="D1158">
        <v>349.61</v>
      </c>
    </row>
    <row r="1159" spans="1:4" x14ac:dyDescent="0.25">
      <c r="A1159" t="s">
        <v>15</v>
      </c>
      <c r="B1159" t="s">
        <v>5</v>
      </c>
      <c r="C1159" s="3">
        <v>42767</v>
      </c>
      <c r="D1159">
        <v>351.68</v>
      </c>
    </row>
    <row r="1160" spans="1:4" x14ac:dyDescent="0.25">
      <c r="A1160" t="s">
        <v>15</v>
      </c>
      <c r="B1160" t="s">
        <v>5</v>
      </c>
      <c r="C1160" s="3">
        <v>42795</v>
      </c>
      <c r="D1160">
        <v>364.12</v>
      </c>
    </row>
    <row r="1161" spans="1:4" x14ac:dyDescent="0.25">
      <c r="A1161" t="s">
        <v>15</v>
      </c>
      <c r="B1161" t="s">
        <v>5</v>
      </c>
      <c r="C1161" s="3">
        <v>42826</v>
      </c>
      <c r="D1161">
        <v>368.86</v>
      </c>
    </row>
    <row r="1162" spans="1:4" x14ac:dyDescent="0.25">
      <c r="A1162" t="s">
        <v>15</v>
      </c>
      <c r="B1162" t="s">
        <v>5</v>
      </c>
      <c r="C1162" s="3">
        <v>42856</v>
      </c>
      <c r="D1162">
        <v>364.97</v>
      </c>
    </row>
    <row r="1163" spans="1:4" x14ac:dyDescent="0.25">
      <c r="A1163" t="s">
        <v>15</v>
      </c>
      <c r="B1163" t="s">
        <v>5</v>
      </c>
      <c r="C1163" s="3">
        <v>42887</v>
      </c>
      <c r="D1163">
        <v>354.32</v>
      </c>
    </row>
    <row r="1164" spans="1:4" x14ac:dyDescent="0.25">
      <c r="A1164" t="s">
        <v>15</v>
      </c>
      <c r="B1164" t="s">
        <v>5</v>
      </c>
      <c r="C1164" s="3">
        <v>42917</v>
      </c>
      <c r="D1164">
        <v>358.15</v>
      </c>
    </row>
    <row r="1165" spans="1:4" x14ac:dyDescent="0.25">
      <c r="A1165" t="s">
        <v>15</v>
      </c>
      <c r="B1165" t="s">
        <v>5</v>
      </c>
      <c r="C1165" s="3">
        <v>42948</v>
      </c>
      <c r="D1165">
        <v>336.12</v>
      </c>
    </row>
    <row r="1166" spans="1:4" x14ac:dyDescent="0.25">
      <c r="A1166" t="s">
        <v>15</v>
      </c>
      <c r="B1166" t="s">
        <v>5</v>
      </c>
      <c r="C1166" s="3">
        <v>42979</v>
      </c>
      <c r="D1166">
        <v>323.89999999999998</v>
      </c>
    </row>
    <row r="1167" spans="1:4" x14ac:dyDescent="0.25">
      <c r="A1167" t="s">
        <v>15</v>
      </c>
      <c r="B1167" t="s">
        <v>5</v>
      </c>
      <c r="C1167" s="3">
        <v>43009</v>
      </c>
      <c r="D1167">
        <v>325.08999999999997</v>
      </c>
    </row>
    <row r="1168" spans="1:4" x14ac:dyDescent="0.25">
      <c r="A1168" t="s">
        <v>15</v>
      </c>
      <c r="B1168" t="s">
        <v>5</v>
      </c>
      <c r="C1168" s="3">
        <v>43040</v>
      </c>
      <c r="D1168">
        <v>328.21</v>
      </c>
    </row>
    <row r="1169" spans="1:4" x14ac:dyDescent="0.25">
      <c r="A1169" t="s">
        <v>15</v>
      </c>
      <c r="B1169" t="s">
        <v>5</v>
      </c>
      <c r="C1169" s="3">
        <v>43070</v>
      </c>
      <c r="D1169">
        <v>331.18</v>
      </c>
    </row>
    <row r="1170" spans="1:4" x14ac:dyDescent="0.25">
      <c r="A1170" t="s">
        <v>15</v>
      </c>
      <c r="B1170" t="s">
        <v>5</v>
      </c>
      <c r="C1170" s="3">
        <v>43101</v>
      </c>
      <c r="D1170">
        <v>360.48</v>
      </c>
    </row>
    <row r="1171" spans="1:4" x14ac:dyDescent="0.25">
      <c r="A1171" t="s">
        <v>15</v>
      </c>
      <c r="B1171" t="s">
        <v>5</v>
      </c>
      <c r="C1171" s="3">
        <v>43132</v>
      </c>
      <c r="D1171">
        <v>348.96</v>
      </c>
    </row>
    <row r="1172" spans="1:4" x14ac:dyDescent="0.25">
      <c r="A1172" t="s">
        <v>15</v>
      </c>
      <c r="B1172" t="s">
        <v>5</v>
      </c>
      <c r="C1172" s="3">
        <v>43160</v>
      </c>
      <c r="D1172">
        <v>343.26</v>
      </c>
    </row>
    <row r="1173" spans="1:4" x14ac:dyDescent="0.25">
      <c r="A1173" t="s">
        <v>15</v>
      </c>
      <c r="B1173" t="s">
        <v>5</v>
      </c>
      <c r="C1173" s="3">
        <v>43191</v>
      </c>
      <c r="D1173">
        <v>337.67</v>
      </c>
    </row>
    <row r="1174" spans="1:4" x14ac:dyDescent="0.25">
      <c r="A1174" t="s">
        <v>15</v>
      </c>
      <c r="B1174" t="s">
        <v>5</v>
      </c>
      <c r="C1174" s="3">
        <v>43221</v>
      </c>
      <c r="D1174">
        <v>341.18</v>
      </c>
    </row>
    <row r="1175" spans="1:4" x14ac:dyDescent="0.25">
      <c r="A1175" t="s">
        <v>15</v>
      </c>
      <c r="B1175" t="s">
        <v>5</v>
      </c>
      <c r="C1175" s="3">
        <v>43252</v>
      </c>
      <c r="D1175">
        <v>351.11</v>
      </c>
    </row>
    <row r="1176" spans="1:4" x14ac:dyDescent="0.25">
      <c r="A1176" t="s">
        <v>15</v>
      </c>
      <c r="B1176" t="s">
        <v>5</v>
      </c>
      <c r="C1176" s="3">
        <v>43282</v>
      </c>
      <c r="D1176">
        <v>341.09</v>
      </c>
    </row>
    <row r="1177" spans="1:4" x14ac:dyDescent="0.25">
      <c r="A1177" t="s">
        <v>15</v>
      </c>
      <c r="B1177" t="s">
        <v>5</v>
      </c>
      <c r="C1177" s="3">
        <v>43313</v>
      </c>
      <c r="D1177">
        <v>335.61</v>
      </c>
    </row>
    <row r="1178" spans="1:4" x14ac:dyDescent="0.25">
      <c r="A1178" t="s">
        <v>15</v>
      </c>
      <c r="B1178" t="s">
        <v>5</v>
      </c>
      <c r="C1178" s="3">
        <v>43344</v>
      </c>
      <c r="D1178">
        <v>330.3</v>
      </c>
    </row>
    <row r="1179" spans="1:4" x14ac:dyDescent="0.25">
      <c r="A1179" t="s">
        <v>15</v>
      </c>
      <c r="B1179" t="s">
        <v>5</v>
      </c>
      <c r="C1179" s="3">
        <v>43374</v>
      </c>
      <c r="D1179">
        <v>329.9</v>
      </c>
    </row>
    <row r="1180" spans="1:4" x14ac:dyDescent="0.25">
      <c r="A1180" t="s">
        <v>15</v>
      </c>
      <c r="B1180" t="s">
        <v>5</v>
      </c>
      <c r="C1180" s="3">
        <v>43405</v>
      </c>
      <c r="D1180">
        <v>332.21</v>
      </c>
    </row>
    <row r="1181" spans="1:4" x14ac:dyDescent="0.25">
      <c r="A1181" t="s">
        <v>15</v>
      </c>
      <c r="B1181" t="s">
        <v>5</v>
      </c>
      <c r="C1181" s="3">
        <v>43435</v>
      </c>
      <c r="D1181">
        <v>341.4</v>
      </c>
    </row>
    <row r="1182" spans="1:4" x14ac:dyDescent="0.25">
      <c r="A1182" t="s">
        <v>15</v>
      </c>
      <c r="B1182" t="s">
        <v>5</v>
      </c>
      <c r="C1182" s="3">
        <v>43466</v>
      </c>
      <c r="D1182">
        <v>351.83</v>
      </c>
    </row>
    <row r="1183" spans="1:4" x14ac:dyDescent="0.25">
      <c r="A1183" t="s">
        <v>15</v>
      </c>
      <c r="B1183" t="s">
        <v>5</v>
      </c>
      <c r="C1183" s="3">
        <v>43497</v>
      </c>
      <c r="D1183">
        <v>375.58</v>
      </c>
    </row>
    <row r="1184" spans="1:4" x14ac:dyDescent="0.25">
      <c r="A1184" t="s">
        <v>15</v>
      </c>
      <c r="B1184" t="s">
        <v>5</v>
      </c>
      <c r="C1184" s="3">
        <v>43525</v>
      </c>
      <c r="D1184">
        <v>399.01</v>
      </c>
    </row>
    <row r="1185" spans="1:4" x14ac:dyDescent="0.25">
      <c r="A1185" t="s">
        <v>15</v>
      </c>
      <c r="B1185" t="s">
        <v>5</v>
      </c>
      <c r="C1185" s="3">
        <v>43556</v>
      </c>
      <c r="D1185">
        <v>410.1</v>
      </c>
    </row>
    <row r="1186" spans="1:4" x14ac:dyDescent="0.25">
      <c r="A1186" t="s">
        <v>15</v>
      </c>
      <c r="B1186" t="s">
        <v>5</v>
      </c>
      <c r="C1186" s="3">
        <v>43586</v>
      </c>
      <c r="D1186">
        <v>406.07</v>
      </c>
    </row>
    <row r="1187" spans="1:4" x14ac:dyDescent="0.25">
      <c r="A1187" t="s">
        <v>15</v>
      </c>
      <c r="B1187" t="s">
        <v>5</v>
      </c>
      <c r="C1187" s="3">
        <v>43617</v>
      </c>
      <c r="D1187">
        <v>397.24</v>
      </c>
    </row>
    <row r="1188" spans="1:4" x14ac:dyDescent="0.25">
      <c r="A1188" t="s">
        <v>15</v>
      </c>
      <c r="B1188" t="s">
        <v>5</v>
      </c>
      <c r="C1188" s="3">
        <v>43647</v>
      </c>
      <c r="D1188">
        <v>381.27</v>
      </c>
    </row>
    <row r="1189" spans="1:4" x14ac:dyDescent="0.25">
      <c r="A1189" t="s">
        <v>15</v>
      </c>
      <c r="B1189" t="s">
        <v>5</v>
      </c>
      <c r="C1189" s="3">
        <v>43678</v>
      </c>
      <c r="D1189">
        <v>354.44</v>
      </c>
    </row>
    <row r="1190" spans="1:4" x14ac:dyDescent="0.25">
      <c r="A1190" t="s">
        <v>15</v>
      </c>
      <c r="B1190" t="s">
        <v>5</v>
      </c>
      <c r="C1190" s="3">
        <v>43709</v>
      </c>
      <c r="D1190">
        <v>352.57</v>
      </c>
    </row>
    <row r="1191" spans="1:4" x14ac:dyDescent="0.25">
      <c r="A1191" t="s">
        <v>15</v>
      </c>
      <c r="B1191" t="s">
        <v>5</v>
      </c>
      <c r="C1191" s="3">
        <v>43739</v>
      </c>
      <c r="D1191">
        <v>341.9</v>
      </c>
    </row>
    <row r="1192" spans="1:4" x14ac:dyDescent="0.25">
      <c r="A1192" t="s">
        <v>15</v>
      </c>
      <c r="B1192" t="s">
        <v>5</v>
      </c>
      <c r="C1192" s="3">
        <v>43770</v>
      </c>
      <c r="D1192">
        <v>347.89</v>
      </c>
    </row>
    <row r="1193" spans="1:4" x14ac:dyDescent="0.25">
      <c r="A1193" t="s">
        <v>15</v>
      </c>
      <c r="B1193" t="s">
        <v>5</v>
      </c>
      <c r="C1193" s="3">
        <v>43800</v>
      </c>
      <c r="D1193">
        <v>383.76</v>
      </c>
    </row>
    <row r="1194" spans="1:4" x14ac:dyDescent="0.25">
      <c r="A1194" t="s">
        <v>15</v>
      </c>
      <c r="B1194" t="s">
        <v>5</v>
      </c>
      <c r="C1194" s="3">
        <v>43831</v>
      </c>
      <c r="D1194">
        <v>389.26</v>
      </c>
    </row>
    <row r="1195" spans="1:4" x14ac:dyDescent="0.25">
      <c r="A1195" t="s">
        <v>15</v>
      </c>
      <c r="B1195" t="s">
        <v>5</v>
      </c>
      <c r="C1195" s="3">
        <v>43862</v>
      </c>
      <c r="D1195">
        <v>405.88</v>
      </c>
    </row>
    <row r="1196" spans="1:4" x14ac:dyDescent="0.25">
      <c r="A1196" t="s">
        <v>15</v>
      </c>
      <c r="B1196" t="s">
        <v>5</v>
      </c>
      <c r="C1196" s="3">
        <v>43891</v>
      </c>
      <c r="D1196">
        <v>426</v>
      </c>
    </row>
    <row r="1197" spans="1:4" x14ac:dyDescent="0.25">
      <c r="A1197" t="s">
        <v>15</v>
      </c>
      <c r="B1197" t="s">
        <v>5</v>
      </c>
      <c r="C1197" s="3">
        <v>43922</v>
      </c>
      <c r="D1197">
        <v>428.28</v>
      </c>
    </row>
    <row r="1198" spans="1:4" x14ac:dyDescent="0.25">
      <c r="A1198" t="s">
        <v>15</v>
      </c>
      <c r="B1198" t="s">
        <v>5</v>
      </c>
      <c r="C1198" s="3">
        <v>43952</v>
      </c>
      <c r="D1198">
        <v>429.57</v>
      </c>
    </row>
    <row r="1199" spans="1:4" x14ac:dyDescent="0.25">
      <c r="A1199" t="s">
        <v>15</v>
      </c>
      <c r="B1199" t="s">
        <v>5</v>
      </c>
      <c r="C1199" s="3">
        <v>43983</v>
      </c>
      <c r="D1199">
        <v>442.46</v>
      </c>
    </row>
    <row r="1200" spans="1:4" x14ac:dyDescent="0.25">
      <c r="A1200" t="s">
        <v>15</v>
      </c>
      <c r="B1200" t="s">
        <v>5</v>
      </c>
      <c r="C1200" s="3">
        <v>44013</v>
      </c>
      <c r="D1200">
        <v>430.66</v>
      </c>
    </row>
    <row r="1201" spans="1:4" x14ac:dyDescent="0.25">
      <c r="A1201" t="s">
        <v>15</v>
      </c>
      <c r="B1201" t="s">
        <v>5</v>
      </c>
      <c r="C1201" s="3">
        <v>44044</v>
      </c>
      <c r="D1201">
        <v>419.47</v>
      </c>
    </row>
    <row r="1202" spans="1:4" x14ac:dyDescent="0.25">
      <c r="A1202" t="s">
        <v>15</v>
      </c>
      <c r="B1202" t="s">
        <v>5</v>
      </c>
      <c r="C1202" s="3">
        <v>44075</v>
      </c>
      <c r="D1202">
        <v>422.31</v>
      </c>
    </row>
    <row r="1203" spans="1:4" x14ac:dyDescent="0.25">
      <c r="A1203" t="s">
        <v>15</v>
      </c>
      <c r="B1203" t="s">
        <v>5</v>
      </c>
      <c r="C1203" s="3">
        <v>44105</v>
      </c>
      <c r="D1203">
        <v>436.76</v>
      </c>
    </row>
    <row r="1204" spans="1:4" x14ac:dyDescent="0.25">
      <c r="A1204" t="s">
        <v>15</v>
      </c>
      <c r="B1204" t="s">
        <v>5</v>
      </c>
      <c r="C1204" s="3">
        <v>44136</v>
      </c>
      <c r="D1204">
        <v>455.43</v>
      </c>
    </row>
    <row r="1205" spans="1:4" x14ac:dyDescent="0.25">
      <c r="A1205" t="s">
        <v>15</v>
      </c>
      <c r="B1205" t="s">
        <v>5</v>
      </c>
      <c r="C1205" s="3">
        <v>44166</v>
      </c>
      <c r="D1205">
        <v>458.79</v>
      </c>
    </row>
    <row r="1206" spans="1:4" x14ac:dyDescent="0.25">
      <c r="A1206" t="s">
        <v>15</v>
      </c>
      <c r="B1206" t="s">
        <v>5</v>
      </c>
      <c r="C1206" s="3">
        <v>44197</v>
      </c>
      <c r="D1206">
        <v>454.49</v>
      </c>
    </row>
    <row r="1207" spans="1:4" x14ac:dyDescent="0.25">
      <c r="A1207" t="s">
        <v>15</v>
      </c>
      <c r="B1207" t="s">
        <v>5</v>
      </c>
      <c r="C1207" s="3">
        <v>44228</v>
      </c>
      <c r="D1207">
        <v>464.43</v>
      </c>
    </row>
    <row r="1208" spans="1:4" x14ac:dyDescent="0.25">
      <c r="A1208" t="s">
        <v>15</v>
      </c>
      <c r="B1208" t="s">
        <v>5</v>
      </c>
      <c r="C1208" s="3">
        <v>44256</v>
      </c>
      <c r="D1208">
        <v>477.56</v>
      </c>
    </row>
    <row r="1209" spans="1:4" x14ac:dyDescent="0.25">
      <c r="A1209" t="s">
        <v>15</v>
      </c>
      <c r="B1209" t="s">
        <v>5</v>
      </c>
      <c r="C1209" s="3">
        <v>44287</v>
      </c>
      <c r="D1209">
        <v>478.23</v>
      </c>
    </row>
    <row r="1210" spans="1:4" x14ac:dyDescent="0.25">
      <c r="A1210" t="s">
        <v>15</v>
      </c>
      <c r="B1210" t="s">
        <v>5</v>
      </c>
      <c r="C1210" s="3">
        <v>44317</v>
      </c>
      <c r="D1210">
        <v>501.7</v>
      </c>
    </row>
    <row r="1211" spans="1:4" x14ac:dyDescent="0.25">
      <c r="A1211" t="s">
        <v>15</v>
      </c>
      <c r="B1211" t="s">
        <v>5</v>
      </c>
      <c r="C1211" s="3">
        <v>44348</v>
      </c>
      <c r="D1211">
        <v>500.2</v>
      </c>
    </row>
    <row r="1212" spans="1:4" x14ac:dyDescent="0.25">
      <c r="A1212" t="s">
        <v>15</v>
      </c>
      <c r="B1212" t="s">
        <v>5</v>
      </c>
      <c r="C1212" s="3">
        <v>44378</v>
      </c>
      <c r="D1212">
        <v>506.51</v>
      </c>
    </row>
    <row r="1213" spans="1:4" x14ac:dyDescent="0.25">
      <c r="A1213" t="s">
        <v>15</v>
      </c>
      <c r="B1213" t="s">
        <v>5</v>
      </c>
      <c r="C1213" s="3">
        <v>44409</v>
      </c>
      <c r="D1213">
        <v>508.04</v>
      </c>
    </row>
    <row r="1214" spans="1:4" x14ac:dyDescent="0.25">
      <c r="A1214" t="s">
        <v>15</v>
      </c>
      <c r="B1214" t="s">
        <v>5</v>
      </c>
      <c r="C1214" s="3">
        <v>44440</v>
      </c>
      <c r="D1214">
        <v>493.29</v>
      </c>
    </row>
    <row r="1215" spans="1:4" x14ac:dyDescent="0.25">
      <c r="A1215" t="s">
        <v>15</v>
      </c>
      <c r="B1215" t="s">
        <v>5</v>
      </c>
      <c r="C1215" s="3">
        <v>44470</v>
      </c>
      <c r="D1215">
        <v>504.66</v>
      </c>
    </row>
    <row r="1216" spans="1:4" x14ac:dyDescent="0.25">
      <c r="A1216" t="s">
        <v>15</v>
      </c>
      <c r="B1216" t="s">
        <v>5</v>
      </c>
      <c r="C1216" s="3">
        <v>44501</v>
      </c>
      <c r="D1216">
        <v>521.08000000000004</v>
      </c>
    </row>
    <row r="1217" spans="1:4" x14ac:dyDescent="0.25">
      <c r="A1217" t="s">
        <v>15</v>
      </c>
      <c r="B1217" t="s">
        <v>5</v>
      </c>
      <c r="C1217" s="3">
        <v>44531</v>
      </c>
      <c r="D1217">
        <v>529.54</v>
      </c>
    </row>
    <row r="1218" spans="1:4" x14ac:dyDescent="0.25">
      <c r="A1218" t="s">
        <v>15</v>
      </c>
      <c r="B1218" t="s">
        <v>5</v>
      </c>
      <c r="C1218" s="3">
        <v>44562</v>
      </c>
      <c r="D1218">
        <v>551.05999999999995</v>
      </c>
    </row>
    <row r="1219" spans="1:4" x14ac:dyDescent="0.25">
      <c r="A1219" t="s">
        <v>15</v>
      </c>
      <c r="B1219" t="s">
        <v>5</v>
      </c>
      <c r="C1219" s="3">
        <v>44593</v>
      </c>
      <c r="D1219">
        <v>557.20000000000005</v>
      </c>
    </row>
    <row r="1220" spans="1:4" x14ac:dyDescent="0.25">
      <c r="A1220" t="s">
        <v>15</v>
      </c>
      <c r="B1220" t="s">
        <v>5</v>
      </c>
      <c r="C1220" s="3">
        <v>44621</v>
      </c>
      <c r="D1220">
        <v>575.33000000000004</v>
      </c>
    </row>
    <row r="1221" spans="1:4" x14ac:dyDescent="0.25">
      <c r="A1221" t="s">
        <v>15</v>
      </c>
      <c r="B1221" t="s">
        <v>5</v>
      </c>
      <c r="C1221" s="3">
        <v>44652</v>
      </c>
      <c r="D1221">
        <v>595.37</v>
      </c>
    </row>
    <row r="1222" spans="1:4" x14ac:dyDescent="0.25">
      <c r="A1222" t="s">
        <v>15</v>
      </c>
      <c r="B1222" t="s">
        <v>5</v>
      </c>
      <c r="C1222" s="3">
        <v>44682</v>
      </c>
      <c r="D1222">
        <v>586.41999999999996</v>
      </c>
    </row>
    <row r="1223" spans="1:4" x14ac:dyDescent="0.25">
      <c r="A1223" t="s">
        <v>15</v>
      </c>
      <c r="B1223" t="s">
        <v>5</v>
      </c>
      <c r="C1223" s="3">
        <v>44713</v>
      </c>
      <c r="D1223">
        <v>611.79</v>
      </c>
    </row>
    <row r="1224" spans="1:4" x14ac:dyDescent="0.25">
      <c r="A1224" t="s">
        <v>15</v>
      </c>
      <c r="B1224" t="s">
        <v>5</v>
      </c>
      <c r="C1224" s="3">
        <v>44743</v>
      </c>
      <c r="D1224">
        <v>587.58000000000004</v>
      </c>
    </row>
    <row r="1225" spans="1:4" x14ac:dyDescent="0.25">
      <c r="A1225" t="s">
        <v>15</v>
      </c>
      <c r="B1225" t="s">
        <v>5</v>
      </c>
      <c r="C1225" s="3">
        <v>44774</v>
      </c>
      <c r="D1225">
        <v>580.74</v>
      </c>
    </row>
    <row r="1226" spans="1:4" x14ac:dyDescent="0.25">
      <c r="A1226" t="s">
        <v>15</v>
      </c>
      <c r="B1226" t="s">
        <v>5</v>
      </c>
      <c r="C1226" s="3">
        <v>44805</v>
      </c>
      <c r="D1226">
        <v>581.53</v>
      </c>
    </row>
    <row r="1227" spans="1:4" x14ac:dyDescent="0.25">
      <c r="A1227" t="s">
        <v>15</v>
      </c>
      <c r="B1227" t="s">
        <v>5</v>
      </c>
      <c r="C1227" s="3">
        <v>44835</v>
      </c>
      <c r="D1227">
        <v>573.4</v>
      </c>
    </row>
    <row r="1228" spans="1:4" x14ac:dyDescent="0.25">
      <c r="A1228" t="s">
        <v>15</v>
      </c>
      <c r="B1228" t="s">
        <v>5</v>
      </c>
      <c r="C1228" s="3">
        <v>44866</v>
      </c>
      <c r="D1228">
        <v>566.95000000000005</v>
      </c>
    </row>
    <row r="1229" spans="1:4" x14ac:dyDescent="0.25">
      <c r="A1229" t="s">
        <v>15</v>
      </c>
      <c r="B1229" t="s">
        <v>5</v>
      </c>
      <c r="C1229" s="3">
        <v>44896</v>
      </c>
      <c r="D1229">
        <v>584.36</v>
      </c>
    </row>
    <row r="1230" spans="1:4" x14ac:dyDescent="0.25">
      <c r="A1230" t="s">
        <v>15</v>
      </c>
      <c r="B1230" t="s">
        <v>5</v>
      </c>
      <c r="C1230" s="3">
        <v>44927</v>
      </c>
      <c r="D1230">
        <v>622.16</v>
      </c>
    </row>
    <row r="1231" spans="1:4" x14ac:dyDescent="0.25">
      <c r="A1231" t="s">
        <v>15</v>
      </c>
      <c r="B1231" t="s">
        <v>5</v>
      </c>
      <c r="C1231" s="3">
        <v>44958</v>
      </c>
      <c r="D1231">
        <v>626.15</v>
      </c>
    </row>
    <row r="1232" spans="1:4" x14ac:dyDescent="0.25">
      <c r="A1232" t="s">
        <v>15</v>
      </c>
      <c r="B1232" t="s">
        <v>5</v>
      </c>
      <c r="C1232" s="3">
        <v>44986</v>
      </c>
      <c r="D1232">
        <v>615.03</v>
      </c>
    </row>
    <row r="1233" spans="1:4" x14ac:dyDescent="0.25">
      <c r="A1233" t="s">
        <v>15</v>
      </c>
      <c r="B1233" t="s">
        <v>5</v>
      </c>
      <c r="C1233" s="3">
        <v>45017</v>
      </c>
      <c r="D1233">
        <v>605.94000000000005</v>
      </c>
    </row>
    <row r="1234" spans="1:4" x14ac:dyDescent="0.25">
      <c r="A1234" t="s">
        <v>15</v>
      </c>
      <c r="B1234" t="s">
        <v>5</v>
      </c>
      <c r="C1234" s="3">
        <v>45047</v>
      </c>
      <c r="D1234">
        <v>602.16</v>
      </c>
    </row>
    <row r="1235" spans="1:4" x14ac:dyDescent="0.25">
      <c r="A1235" t="s">
        <v>15</v>
      </c>
      <c r="B1235" t="s">
        <v>5</v>
      </c>
      <c r="C1235" s="3">
        <v>45078</v>
      </c>
      <c r="D1235">
        <v>632.27</v>
      </c>
    </row>
    <row r="1236" spans="1:4" x14ac:dyDescent="0.25">
      <c r="A1236" t="s">
        <v>15</v>
      </c>
      <c r="B1236" t="s">
        <v>5</v>
      </c>
      <c r="C1236" s="3">
        <v>45108</v>
      </c>
      <c r="D1236">
        <v>613.64</v>
      </c>
    </row>
    <row r="1237" spans="1:4" x14ac:dyDescent="0.25">
      <c r="A1237" t="s">
        <v>15</v>
      </c>
      <c r="B1237" t="s">
        <v>5</v>
      </c>
      <c r="C1237" s="3">
        <v>45139</v>
      </c>
      <c r="D1237">
        <v>581.17999999999995</v>
      </c>
    </row>
    <row r="1238" spans="1:4" x14ac:dyDescent="0.25">
      <c r="A1238" t="s">
        <v>15</v>
      </c>
      <c r="B1238" t="s">
        <v>5</v>
      </c>
      <c r="C1238" s="3">
        <v>45170</v>
      </c>
      <c r="D1238">
        <v>598.99</v>
      </c>
    </row>
    <row r="1239" spans="1:4" x14ac:dyDescent="0.25">
      <c r="A1239" t="s">
        <v>15</v>
      </c>
      <c r="B1239" t="s">
        <v>5</v>
      </c>
      <c r="C1239" s="3">
        <v>45200</v>
      </c>
      <c r="D1239">
        <v>582.12</v>
      </c>
    </row>
    <row r="1240" spans="1:4" x14ac:dyDescent="0.25">
      <c r="A1240" t="s">
        <v>15</v>
      </c>
      <c r="B1240" t="s">
        <v>5</v>
      </c>
      <c r="C1240" s="3">
        <v>45231</v>
      </c>
      <c r="D1240">
        <v>567.29999999999995</v>
      </c>
    </row>
    <row r="1241" spans="1:4" x14ac:dyDescent="0.25">
      <c r="A1241" t="s">
        <v>15</v>
      </c>
      <c r="B1241" t="s">
        <v>5</v>
      </c>
      <c r="C1241" s="3">
        <v>45261</v>
      </c>
      <c r="D1241">
        <v>556.05999999999995</v>
      </c>
    </row>
    <row r="1242" spans="1:4" x14ac:dyDescent="0.25">
      <c r="A1242" t="s">
        <v>15</v>
      </c>
      <c r="B1242" t="s">
        <v>5</v>
      </c>
      <c r="C1242" s="3">
        <v>45292</v>
      </c>
      <c r="D1242">
        <v>575.71</v>
      </c>
    </row>
    <row r="1243" spans="1:4" x14ac:dyDescent="0.25">
      <c r="A1243" t="s">
        <v>15</v>
      </c>
      <c r="B1243" t="s">
        <v>5</v>
      </c>
      <c r="C1243" s="3">
        <v>45323</v>
      </c>
      <c r="D1243">
        <v>579.30999999999995</v>
      </c>
    </row>
    <row r="1244" spans="1:4" x14ac:dyDescent="0.25">
      <c r="A1244" t="s">
        <v>15</v>
      </c>
      <c r="B1244" t="s">
        <v>5</v>
      </c>
      <c r="C1244" s="3">
        <v>45352</v>
      </c>
      <c r="D1244">
        <v>605.33000000000004</v>
      </c>
    </row>
    <row r="1245" spans="1:4" x14ac:dyDescent="0.25">
      <c r="A1245" t="s">
        <v>15</v>
      </c>
      <c r="B1245" t="s">
        <v>5</v>
      </c>
      <c r="C1245" s="3">
        <v>45383</v>
      </c>
      <c r="D1245">
        <v>632.23</v>
      </c>
    </row>
    <row r="1246" spans="1:4" x14ac:dyDescent="0.25">
      <c r="A1246" t="s">
        <v>15</v>
      </c>
      <c r="B1246" t="s">
        <v>5</v>
      </c>
      <c r="C1246" s="3">
        <v>45413</v>
      </c>
      <c r="D1246">
        <v>640.1</v>
      </c>
    </row>
    <row r="1247" spans="1:4" x14ac:dyDescent="0.25">
      <c r="A1247" t="s">
        <v>15</v>
      </c>
      <c r="B1247" t="s">
        <v>5</v>
      </c>
      <c r="C1247" s="3">
        <v>45444</v>
      </c>
      <c r="D1247">
        <v>599.29</v>
      </c>
    </row>
    <row r="1248" spans="1:4" x14ac:dyDescent="0.25">
      <c r="A1248" t="s">
        <v>15</v>
      </c>
      <c r="B1248" t="s">
        <v>5</v>
      </c>
      <c r="C1248" s="3">
        <v>45474</v>
      </c>
      <c r="D1248">
        <v>575.12</v>
      </c>
    </row>
    <row r="1249" spans="1:4" x14ac:dyDescent="0.25">
      <c r="A1249" t="s">
        <v>15</v>
      </c>
      <c r="B1249" t="s">
        <v>5</v>
      </c>
      <c r="C1249" s="3">
        <v>45505</v>
      </c>
      <c r="D1249">
        <v>555.67999999999995</v>
      </c>
    </row>
    <row r="1250" spans="1:4" x14ac:dyDescent="0.25">
      <c r="A1250" t="s">
        <v>15</v>
      </c>
      <c r="B1250" t="s">
        <v>5</v>
      </c>
      <c r="C1250" s="3">
        <v>45536</v>
      </c>
      <c r="D1250">
        <v>554</v>
      </c>
    </row>
    <row r="1251" spans="1:4" x14ac:dyDescent="0.25">
      <c r="A1251" t="s">
        <v>15</v>
      </c>
      <c r="B1251" t="s">
        <v>5</v>
      </c>
      <c r="C1251" s="3">
        <v>45566</v>
      </c>
      <c r="D1251">
        <v>576.23</v>
      </c>
    </row>
    <row r="1252" spans="1:4" x14ac:dyDescent="0.25">
      <c r="A1252" t="s">
        <v>15</v>
      </c>
      <c r="B1252" t="s">
        <v>5</v>
      </c>
      <c r="C1252" s="3">
        <v>45597</v>
      </c>
      <c r="D1252">
        <v>593.54</v>
      </c>
    </row>
    <row r="1253" spans="1:4" x14ac:dyDescent="0.25">
      <c r="A1253" t="s">
        <v>15</v>
      </c>
      <c r="B1253" t="s">
        <v>5</v>
      </c>
      <c r="C1253" s="3">
        <v>45627</v>
      </c>
      <c r="D1253">
        <v>617.32000000000005</v>
      </c>
    </row>
    <row r="1254" spans="1:4" x14ac:dyDescent="0.25">
      <c r="A1254" t="s">
        <v>15</v>
      </c>
      <c r="B1254" t="s">
        <v>5</v>
      </c>
      <c r="C1254" s="3">
        <v>45658</v>
      </c>
      <c r="D1254">
        <v>634.11</v>
      </c>
    </row>
    <row r="1255" spans="1:4" x14ac:dyDescent="0.25">
      <c r="A1255" t="s">
        <v>15</v>
      </c>
      <c r="B1255" t="s">
        <v>5</v>
      </c>
      <c r="C1255" s="3">
        <v>45689</v>
      </c>
      <c r="D1255">
        <v>648.58000000000004</v>
      </c>
    </row>
    <row r="1256" spans="1:4" x14ac:dyDescent="0.25">
      <c r="A1256" t="s">
        <v>15</v>
      </c>
      <c r="B1256" t="s">
        <v>5</v>
      </c>
      <c r="C1256" s="3">
        <v>45717</v>
      </c>
      <c r="D1256">
        <v>636.47</v>
      </c>
    </row>
    <row r="1257" spans="1:4" x14ac:dyDescent="0.25">
      <c r="A1257" t="s">
        <v>15</v>
      </c>
      <c r="B1257" t="s">
        <v>5</v>
      </c>
      <c r="C1257" s="3">
        <v>45748</v>
      </c>
      <c r="D1257">
        <v>657</v>
      </c>
    </row>
    <row r="1258" spans="1:4" x14ac:dyDescent="0.25">
      <c r="A1258" t="s">
        <v>15</v>
      </c>
      <c r="B1258" t="s">
        <v>5</v>
      </c>
      <c r="C1258" s="3">
        <v>45778</v>
      </c>
      <c r="D1258">
        <v>645</v>
      </c>
    </row>
    <row r="1259" spans="1:4" x14ac:dyDescent="0.25">
      <c r="A1259" t="s">
        <v>15</v>
      </c>
      <c r="B1259" t="s">
        <v>5</v>
      </c>
      <c r="C1259" s="3">
        <v>45809</v>
      </c>
      <c r="D1259">
        <v>636.95000000000005</v>
      </c>
    </row>
    <row r="1260" spans="1:4" x14ac:dyDescent="0.25">
      <c r="A1260" t="s">
        <v>16</v>
      </c>
      <c r="B1260" t="s">
        <v>5</v>
      </c>
      <c r="C1260" s="3">
        <v>42005</v>
      </c>
      <c r="D1260">
        <v>361.11</v>
      </c>
    </row>
    <row r="1261" spans="1:4" x14ac:dyDescent="0.25">
      <c r="A1261" t="s">
        <v>16</v>
      </c>
      <c r="B1261" t="s">
        <v>5</v>
      </c>
      <c r="C1261" s="3">
        <v>42036</v>
      </c>
      <c r="D1261">
        <v>353.81</v>
      </c>
    </row>
    <row r="1262" spans="1:4" x14ac:dyDescent="0.25">
      <c r="A1262" t="s">
        <v>16</v>
      </c>
      <c r="B1262" t="s">
        <v>5</v>
      </c>
      <c r="C1262" s="3">
        <v>42064</v>
      </c>
      <c r="D1262">
        <v>360.01</v>
      </c>
    </row>
    <row r="1263" spans="1:4" x14ac:dyDescent="0.25">
      <c r="A1263" t="s">
        <v>16</v>
      </c>
      <c r="B1263" t="s">
        <v>5</v>
      </c>
      <c r="C1263" s="3">
        <v>42095</v>
      </c>
      <c r="D1263">
        <v>368.97</v>
      </c>
    </row>
    <row r="1264" spans="1:4" x14ac:dyDescent="0.25">
      <c r="A1264" t="s">
        <v>16</v>
      </c>
      <c r="B1264" t="s">
        <v>5</v>
      </c>
      <c r="C1264" s="3">
        <v>42125</v>
      </c>
      <c r="D1264">
        <v>384.57</v>
      </c>
    </row>
    <row r="1265" spans="1:4" x14ac:dyDescent="0.25">
      <c r="A1265" t="s">
        <v>16</v>
      </c>
      <c r="B1265" t="s">
        <v>5</v>
      </c>
      <c r="C1265" s="3">
        <v>42156</v>
      </c>
      <c r="D1265">
        <v>384.13</v>
      </c>
    </row>
    <row r="1266" spans="1:4" x14ac:dyDescent="0.25">
      <c r="A1266" t="s">
        <v>16</v>
      </c>
      <c r="B1266" t="s">
        <v>5</v>
      </c>
      <c r="C1266" s="3">
        <v>42186</v>
      </c>
      <c r="D1266">
        <v>383.22</v>
      </c>
    </row>
    <row r="1267" spans="1:4" x14ac:dyDescent="0.25">
      <c r="A1267" t="s">
        <v>16</v>
      </c>
      <c r="B1267" t="s">
        <v>5</v>
      </c>
      <c r="C1267" s="3">
        <v>42217</v>
      </c>
      <c r="D1267">
        <v>387.83</v>
      </c>
    </row>
    <row r="1268" spans="1:4" x14ac:dyDescent="0.25">
      <c r="A1268" t="s">
        <v>16</v>
      </c>
      <c r="B1268" t="s">
        <v>5</v>
      </c>
      <c r="C1268" s="3">
        <v>42248</v>
      </c>
      <c r="D1268">
        <v>385.7</v>
      </c>
    </row>
    <row r="1269" spans="1:4" x14ac:dyDescent="0.25">
      <c r="A1269" t="s">
        <v>16</v>
      </c>
      <c r="B1269" t="s">
        <v>5</v>
      </c>
      <c r="C1269" s="3">
        <v>42278</v>
      </c>
      <c r="D1269">
        <v>380.8</v>
      </c>
    </row>
    <row r="1270" spans="1:4" x14ac:dyDescent="0.25">
      <c r="A1270" t="s">
        <v>16</v>
      </c>
      <c r="B1270" t="s">
        <v>5</v>
      </c>
      <c r="C1270" s="3">
        <v>42309</v>
      </c>
      <c r="D1270">
        <v>404.62</v>
      </c>
    </row>
    <row r="1271" spans="1:4" x14ac:dyDescent="0.25">
      <c r="A1271" t="s">
        <v>16</v>
      </c>
      <c r="B1271" t="s">
        <v>5</v>
      </c>
      <c r="C1271" s="3">
        <v>42339</v>
      </c>
      <c r="D1271">
        <v>418.82</v>
      </c>
    </row>
    <row r="1272" spans="1:4" x14ac:dyDescent="0.25">
      <c r="A1272" t="s">
        <v>16</v>
      </c>
      <c r="B1272" t="s">
        <v>5</v>
      </c>
      <c r="C1272" s="3">
        <v>42370</v>
      </c>
      <c r="D1272">
        <v>432.64</v>
      </c>
    </row>
    <row r="1273" spans="1:4" x14ac:dyDescent="0.25">
      <c r="A1273" t="s">
        <v>16</v>
      </c>
      <c r="B1273" t="s">
        <v>5</v>
      </c>
      <c r="C1273" s="3">
        <v>42401</v>
      </c>
      <c r="D1273">
        <v>416.82</v>
      </c>
    </row>
    <row r="1274" spans="1:4" x14ac:dyDescent="0.25">
      <c r="A1274" t="s">
        <v>16</v>
      </c>
      <c r="B1274" t="s">
        <v>5</v>
      </c>
      <c r="C1274" s="3">
        <v>42430</v>
      </c>
      <c r="D1274">
        <v>420.9</v>
      </c>
    </row>
    <row r="1275" spans="1:4" x14ac:dyDescent="0.25">
      <c r="A1275" t="s">
        <v>16</v>
      </c>
      <c r="B1275" t="s">
        <v>5</v>
      </c>
      <c r="C1275" s="3">
        <v>42461</v>
      </c>
      <c r="D1275">
        <v>426.93</v>
      </c>
    </row>
    <row r="1276" spans="1:4" x14ac:dyDescent="0.25">
      <c r="A1276" t="s">
        <v>16</v>
      </c>
      <c r="B1276" t="s">
        <v>5</v>
      </c>
      <c r="C1276" s="3">
        <v>42491</v>
      </c>
      <c r="D1276">
        <v>443.46</v>
      </c>
    </row>
    <row r="1277" spans="1:4" x14ac:dyDescent="0.25">
      <c r="A1277" t="s">
        <v>16</v>
      </c>
      <c r="B1277" t="s">
        <v>5</v>
      </c>
      <c r="C1277" s="3">
        <v>42522</v>
      </c>
      <c r="D1277">
        <v>465.03</v>
      </c>
    </row>
    <row r="1278" spans="1:4" x14ac:dyDescent="0.25">
      <c r="A1278" t="s">
        <v>16</v>
      </c>
      <c r="B1278" t="s">
        <v>5</v>
      </c>
      <c r="C1278" s="3">
        <v>42552</v>
      </c>
      <c r="D1278">
        <v>468.78</v>
      </c>
    </row>
    <row r="1279" spans="1:4" x14ac:dyDescent="0.25">
      <c r="A1279" t="s">
        <v>16</v>
      </c>
      <c r="B1279" t="s">
        <v>5</v>
      </c>
      <c r="C1279" s="3">
        <v>42583</v>
      </c>
      <c r="D1279">
        <v>474.34</v>
      </c>
    </row>
    <row r="1280" spans="1:4" x14ac:dyDescent="0.25">
      <c r="A1280" t="s">
        <v>16</v>
      </c>
      <c r="B1280" t="s">
        <v>5</v>
      </c>
      <c r="C1280" s="3">
        <v>42614</v>
      </c>
      <c r="D1280">
        <v>477.69</v>
      </c>
    </row>
    <row r="1281" spans="1:4" x14ac:dyDescent="0.25">
      <c r="A1281" t="s">
        <v>16</v>
      </c>
      <c r="B1281" t="s">
        <v>5</v>
      </c>
      <c r="C1281" s="3">
        <v>42644</v>
      </c>
      <c r="D1281">
        <v>478.07</v>
      </c>
    </row>
    <row r="1282" spans="1:4" x14ac:dyDescent="0.25">
      <c r="A1282" t="s">
        <v>16</v>
      </c>
      <c r="B1282" t="s">
        <v>5</v>
      </c>
      <c r="C1282" s="3">
        <v>42675</v>
      </c>
      <c r="D1282">
        <v>469.05</v>
      </c>
    </row>
    <row r="1283" spans="1:4" x14ac:dyDescent="0.25">
      <c r="A1283" t="s">
        <v>16</v>
      </c>
      <c r="B1283" t="s">
        <v>5</v>
      </c>
      <c r="C1283" s="3">
        <v>42705</v>
      </c>
      <c r="D1283">
        <v>459.02</v>
      </c>
    </row>
    <row r="1284" spans="1:4" x14ac:dyDescent="0.25">
      <c r="A1284" t="s">
        <v>16</v>
      </c>
      <c r="B1284" t="s">
        <v>5</v>
      </c>
      <c r="C1284" s="3">
        <v>42736</v>
      </c>
      <c r="D1284">
        <v>453.67</v>
      </c>
    </row>
    <row r="1285" spans="1:4" x14ac:dyDescent="0.25">
      <c r="A1285" t="s">
        <v>16</v>
      </c>
      <c r="B1285" t="s">
        <v>5</v>
      </c>
      <c r="C1285" s="3">
        <v>42767</v>
      </c>
      <c r="D1285">
        <v>435.51</v>
      </c>
    </row>
    <row r="1286" spans="1:4" x14ac:dyDescent="0.25">
      <c r="A1286" t="s">
        <v>16</v>
      </c>
      <c r="B1286" t="s">
        <v>5</v>
      </c>
      <c r="C1286" s="3">
        <v>42795</v>
      </c>
      <c r="D1286">
        <v>437.22</v>
      </c>
    </row>
    <row r="1287" spans="1:4" x14ac:dyDescent="0.25">
      <c r="A1287" t="s">
        <v>16</v>
      </c>
      <c r="B1287" t="s">
        <v>5</v>
      </c>
      <c r="C1287" s="3">
        <v>42826</v>
      </c>
      <c r="D1287">
        <v>464.19</v>
      </c>
    </row>
    <row r="1288" spans="1:4" x14ac:dyDescent="0.25">
      <c r="A1288" t="s">
        <v>16</v>
      </c>
      <c r="B1288" t="s">
        <v>5</v>
      </c>
      <c r="C1288" s="3">
        <v>42856</v>
      </c>
      <c r="D1288">
        <v>460.65</v>
      </c>
    </row>
    <row r="1289" spans="1:4" x14ac:dyDescent="0.25">
      <c r="A1289" t="s">
        <v>16</v>
      </c>
      <c r="B1289" t="s">
        <v>5</v>
      </c>
      <c r="C1289" s="3">
        <v>42887</v>
      </c>
      <c r="D1289">
        <v>443.66</v>
      </c>
    </row>
    <row r="1290" spans="1:4" x14ac:dyDescent="0.25">
      <c r="A1290" t="s">
        <v>16</v>
      </c>
      <c r="B1290" t="s">
        <v>5</v>
      </c>
      <c r="C1290" s="3">
        <v>42917</v>
      </c>
      <c r="D1290">
        <v>453.56</v>
      </c>
    </row>
    <row r="1291" spans="1:4" x14ac:dyDescent="0.25">
      <c r="A1291" t="s">
        <v>16</v>
      </c>
      <c r="B1291" t="s">
        <v>5</v>
      </c>
      <c r="C1291" s="3">
        <v>42948</v>
      </c>
      <c r="D1291">
        <v>445.76</v>
      </c>
    </row>
    <row r="1292" spans="1:4" x14ac:dyDescent="0.25">
      <c r="A1292" t="s">
        <v>16</v>
      </c>
      <c r="B1292" t="s">
        <v>5</v>
      </c>
      <c r="C1292" s="3">
        <v>42979</v>
      </c>
      <c r="D1292">
        <v>436.68</v>
      </c>
    </row>
    <row r="1293" spans="1:4" x14ac:dyDescent="0.25">
      <c r="A1293" t="s">
        <v>16</v>
      </c>
      <c r="B1293" t="s">
        <v>5</v>
      </c>
      <c r="C1293" s="3">
        <v>43009</v>
      </c>
      <c r="D1293">
        <v>446.87</v>
      </c>
    </row>
    <row r="1294" spans="1:4" x14ac:dyDescent="0.25">
      <c r="A1294" t="s">
        <v>16</v>
      </c>
      <c r="B1294" t="s">
        <v>5</v>
      </c>
      <c r="C1294" s="3">
        <v>43040</v>
      </c>
      <c r="D1294">
        <v>444.16</v>
      </c>
    </row>
    <row r="1295" spans="1:4" x14ac:dyDescent="0.25">
      <c r="A1295" t="s">
        <v>16</v>
      </c>
      <c r="B1295" t="s">
        <v>5</v>
      </c>
      <c r="C1295" s="3">
        <v>43070</v>
      </c>
      <c r="D1295">
        <v>426.74</v>
      </c>
    </row>
    <row r="1296" spans="1:4" x14ac:dyDescent="0.25">
      <c r="A1296" t="s">
        <v>16</v>
      </c>
      <c r="B1296" t="s">
        <v>5</v>
      </c>
      <c r="C1296" s="3">
        <v>43101</v>
      </c>
      <c r="D1296">
        <v>446.69</v>
      </c>
    </row>
    <row r="1297" spans="1:4" x14ac:dyDescent="0.25">
      <c r="A1297" t="s">
        <v>16</v>
      </c>
      <c r="B1297" t="s">
        <v>5</v>
      </c>
      <c r="C1297" s="3">
        <v>43132</v>
      </c>
      <c r="D1297">
        <v>434.5</v>
      </c>
    </row>
    <row r="1298" spans="1:4" x14ac:dyDescent="0.25">
      <c r="A1298" t="s">
        <v>16</v>
      </c>
      <c r="B1298" t="s">
        <v>5</v>
      </c>
      <c r="C1298" s="3">
        <v>43160</v>
      </c>
      <c r="D1298">
        <v>434.7</v>
      </c>
    </row>
    <row r="1299" spans="1:4" x14ac:dyDescent="0.25">
      <c r="A1299" t="s">
        <v>16</v>
      </c>
      <c r="B1299" t="s">
        <v>5</v>
      </c>
      <c r="C1299" s="3">
        <v>43191</v>
      </c>
      <c r="D1299">
        <v>430.29</v>
      </c>
    </row>
    <row r="1300" spans="1:4" x14ac:dyDescent="0.25">
      <c r="A1300" t="s">
        <v>16</v>
      </c>
      <c r="B1300" t="s">
        <v>5</v>
      </c>
      <c r="C1300" s="3">
        <v>43221</v>
      </c>
      <c r="D1300">
        <v>437.73</v>
      </c>
    </row>
    <row r="1301" spans="1:4" x14ac:dyDescent="0.25">
      <c r="A1301" t="s">
        <v>16</v>
      </c>
      <c r="B1301" t="s">
        <v>5</v>
      </c>
      <c r="C1301" s="3">
        <v>43252</v>
      </c>
      <c r="D1301">
        <v>452.81</v>
      </c>
    </row>
    <row r="1302" spans="1:4" x14ac:dyDescent="0.25">
      <c r="A1302" t="s">
        <v>16</v>
      </c>
      <c r="B1302" t="s">
        <v>5</v>
      </c>
      <c r="C1302" s="3">
        <v>43282</v>
      </c>
      <c r="D1302">
        <v>435.02</v>
      </c>
    </row>
    <row r="1303" spans="1:4" x14ac:dyDescent="0.25">
      <c r="A1303" t="s">
        <v>16</v>
      </c>
      <c r="B1303" t="s">
        <v>5</v>
      </c>
      <c r="C1303" s="3">
        <v>43313</v>
      </c>
      <c r="D1303">
        <v>419.81</v>
      </c>
    </row>
    <row r="1304" spans="1:4" x14ac:dyDescent="0.25">
      <c r="A1304" t="s">
        <v>16</v>
      </c>
      <c r="B1304" t="s">
        <v>5</v>
      </c>
      <c r="C1304" s="3">
        <v>43344</v>
      </c>
      <c r="D1304">
        <v>423.01</v>
      </c>
    </row>
    <row r="1305" spans="1:4" x14ac:dyDescent="0.25">
      <c r="A1305" t="s">
        <v>16</v>
      </c>
      <c r="B1305" t="s">
        <v>5</v>
      </c>
      <c r="C1305" s="3">
        <v>43374</v>
      </c>
      <c r="D1305">
        <v>449.89</v>
      </c>
    </row>
    <row r="1306" spans="1:4" x14ac:dyDescent="0.25">
      <c r="A1306" t="s">
        <v>16</v>
      </c>
      <c r="B1306" t="s">
        <v>5</v>
      </c>
      <c r="C1306" s="3">
        <v>43405</v>
      </c>
      <c r="D1306">
        <v>463.09</v>
      </c>
    </row>
    <row r="1307" spans="1:4" x14ac:dyDescent="0.25">
      <c r="A1307" t="s">
        <v>16</v>
      </c>
      <c r="B1307" t="s">
        <v>5</v>
      </c>
      <c r="C1307" s="3">
        <v>43435</v>
      </c>
      <c r="D1307">
        <v>464.72</v>
      </c>
    </row>
    <row r="1308" spans="1:4" x14ac:dyDescent="0.25">
      <c r="A1308" t="s">
        <v>16</v>
      </c>
      <c r="B1308" t="s">
        <v>5</v>
      </c>
      <c r="C1308" s="3">
        <v>43466</v>
      </c>
      <c r="D1308">
        <v>441.65</v>
      </c>
    </row>
    <row r="1309" spans="1:4" x14ac:dyDescent="0.25">
      <c r="A1309" t="s">
        <v>16</v>
      </c>
      <c r="B1309" t="s">
        <v>5</v>
      </c>
      <c r="C1309" s="3">
        <v>43497</v>
      </c>
      <c r="D1309">
        <v>449.95</v>
      </c>
    </row>
    <row r="1310" spans="1:4" x14ac:dyDescent="0.25">
      <c r="A1310" t="s">
        <v>16</v>
      </c>
      <c r="B1310" t="s">
        <v>5</v>
      </c>
      <c r="C1310" s="3">
        <v>43525</v>
      </c>
      <c r="D1310">
        <v>479.53</v>
      </c>
    </row>
    <row r="1311" spans="1:4" x14ac:dyDescent="0.25">
      <c r="A1311" t="s">
        <v>16</v>
      </c>
      <c r="B1311" t="s">
        <v>5</v>
      </c>
      <c r="C1311" s="3">
        <v>43556</v>
      </c>
      <c r="D1311">
        <v>499.38</v>
      </c>
    </row>
    <row r="1312" spans="1:4" x14ac:dyDescent="0.25">
      <c r="A1312" t="s">
        <v>16</v>
      </c>
      <c r="B1312" t="s">
        <v>5</v>
      </c>
      <c r="C1312" s="3">
        <v>43586</v>
      </c>
      <c r="D1312">
        <v>496.13</v>
      </c>
    </row>
    <row r="1313" spans="1:4" x14ac:dyDescent="0.25">
      <c r="A1313" t="s">
        <v>16</v>
      </c>
      <c r="B1313" t="s">
        <v>5</v>
      </c>
      <c r="C1313" s="3">
        <v>43617</v>
      </c>
      <c r="D1313">
        <v>498.41</v>
      </c>
    </row>
    <row r="1314" spans="1:4" x14ac:dyDescent="0.25">
      <c r="A1314" t="s">
        <v>16</v>
      </c>
      <c r="B1314" t="s">
        <v>5</v>
      </c>
      <c r="C1314" s="3">
        <v>43647</v>
      </c>
      <c r="D1314">
        <v>493.22</v>
      </c>
    </row>
    <row r="1315" spans="1:4" x14ac:dyDescent="0.25">
      <c r="A1315" t="s">
        <v>16</v>
      </c>
      <c r="B1315" t="s">
        <v>5</v>
      </c>
      <c r="C1315" s="3">
        <v>43678</v>
      </c>
      <c r="D1315">
        <v>469.17</v>
      </c>
    </row>
    <row r="1316" spans="1:4" x14ac:dyDescent="0.25">
      <c r="A1316" t="s">
        <v>16</v>
      </c>
      <c r="B1316" t="s">
        <v>5</v>
      </c>
      <c r="C1316" s="3">
        <v>43709</v>
      </c>
      <c r="D1316">
        <v>458.29</v>
      </c>
    </row>
    <row r="1317" spans="1:4" x14ac:dyDescent="0.25">
      <c r="A1317" t="s">
        <v>16</v>
      </c>
      <c r="B1317" t="s">
        <v>5</v>
      </c>
      <c r="C1317" s="3">
        <v>43739</v>
      </c>
      <c r="D1317">
        <v>463.24</v>
      </c>
    </row>
    <row r="1318" spans="1:4" x14ac:dyDescent="0.25">
      <c r="A1318" t="s">
        <v>16</v>
      </c>
      <c r="B1318" t="s">
        <v>5</v>
      </c>
      <c r="C1318" s="3">
        <v>43770</v>
      </c>
      <c r="D1318">
        <v>453.82</v>
      </c>
    </row>
    <row r="1319" spans="1:4" x14ac:dyDescent="0.25">
      <c r="A1319" t="s">
        <v>16</v>
      </c>
      <c r="B1319" t="s">
        <v>5</v>
      </c>
      <c r="C1319" s="3">
        <v>43800</v>
      </c>
      <c r="D1319">
        <v>506.3</v>
      </c>
    </row>
    <row r="1320" spans="1:4" x14ac:dyDescent="0.25">
      <c r="A1320" t="s">
        <v>16</v>
      </c>
      <c r="B1320" t="s">
        <v>5</v>
      </c>
      <c r="C1320" s="3">
        <v>43831</v>
      </c>
      <c r="D1320">
        <v>502.98</v>
      </c>
    </row>
    <row r="1321" spans="1:4" x14ac:dyDescent="0.25">
      <c r="A1321" t="s">
        <v>16</v>
      </c>
      <c r="B1321" t="s">
        <v>5</v>
      </c>
      <c r="C1321" s="3">
        <v>43862</v>
      </c>
      <c r="D1321">
        <v>492.83</v>
      </c>
    </row>
    <row r="1322" spans="1:4" x14ac:dyDescent="0.25">
      <c r="A1322" t="s">
        <v>16</v>
      </c>
      <c r="B1322" t="s">
        <v>5</v>
      </c>
      <c r="C1322" s="3">
        <v>43891</v>
      </c>
      <c r="D1322">
        <v>497.88</v>
      </c>
    </row>
    <row r="1323" spans="1:4" x14ac:dyDescent="0.25">
      <c r="A1323" t="s">
        <v>16</v>
      </c>
      <c r="B1323" t="s">
        <v>5</v>
      </c>
      <c r="C1323" s="3">
        <v>43922</v>
      </c>
      <c r="D1323">
        <v>527.01</v>
      </c>
    </row>
    <row r="1324" spans="1:4" x14ac:dyDescent="0.25">
      <c r="A1324" t="s">
        <v>16</v>
      </c>
      <c r="B1324" t="s">
        <v>5</v>
      </c>
      <c r="C1324" s="3">
        <v>43952</v>
      </c>
      <c r="D1324">
        <v>518.63</v>
      </c>
    </row>
    <row r="1325" spans="1:4" x14ac:dyDescent="0.25">
      <c r="A1325" t="s">
        <v>16</v>
      </c>
      <c r="B1325" t="s">
        <v>5</v>
      </c>
      <c r="C1325" s="3">
        <v>43983</v>
      </c>
      <c r="D1325">
        <v>512.4</v>
      </c>
    </row>
    <row r="1326" spans="1:4" x14ac:dyDescent="0.25">
      <c r="A1326" t="s">
        <v>16</v>
      </c>
      <c r="B1326" t="s">
        <v>5</v>
      </c>
      <c r="C1326" s="3">
        <v>44013</v>
      </c>
      <c r="D1326">
        <v>511.22</v>
      </c>
    </row>
    <row r="1327" spans="1:4" x14ac:dyDescent="0.25">
      <c r="A1327" t="s">
        <v>16</v>
      </c>
      <c r="B1327" t="s">
        <v>5</v>
      </c>
      <c r="C1327" s="3">
        <v>44044</v>
      </c>
      <c r="D1327">
        <v>528.61</v>
      </c>
    </row>
    <row r="1328" spans="1:4" x14ac:dyDescent="0.25">
      <c r="A1328" t="s">
        <v>16</v>
      </c>
      <c r="B1328" t="s">
        <v>5</v>
      </c>
      <c r="C1328" s="3">
        <v>44075</v>
      </c>
      <c r="D1328">
        <v>552.86</v>
      </c>
    </row>
    <row r="1329" spans="1:4" x14ac:dyDescent="0.25">
      <c r="A1329" t="s">
        <v>16</v>
      </c>
      <c r="B1329" t="s">
        <v>5</v>
      </c>
      <c r="C1329" s="3">
        <v>44105</v>
      </c>
      <c r="D1329">
        <v>581.39</v>
      </c>
    </row>
    <row r="1330" spans="1:4" x14ac:dyDescent="0.25">
      <c r="A1330" t="s">
        <v>16</v>
      </c>
      <c r="B1330" t="s">
        <v>5</v>
      </c>
      <c r="C1330" s="3">
        <v>44136</v>
      </c>
      <c r="D1330">
        <v>617.03</v>
      </c>
    </row>
    <row r="1331" spans="1:4" x14ac:dyDescent="0.25">
      <c r="A1331" t="s">
        <v>16</v>
      </c>
      <c r="B1331" t="s">
        <v>5</v>
      </c>
      <c r="C1331" s="3">
        <v>44166</v>
      </c>
      <c r="D1331">
        <v>615.66</v>
      </c>
    </row>
    <row r="1332" spans="1:4" x14ac:dyDescent="0.25">
      <c r="A1332" t="s">
        <v>16</v>
      </c>
      <c r="B1332" t="s">
        <v>5</v>
      </c>
      <c r="C1332" s="3">
        <v>44197</v>
      </c>
      <c r="D1332">
        <v>626.25</v>
      </c>
    </row>
    <row r="1333" spans="1:4" x14ac:dyDescent="0.25">
      <c r="A1333" t="s">
        <v>16</v>
      </c>
      <c r="B1333" t="s">
        <v>5</v>
      </c>
      <c r="C1333" s="3">
        <v>44228</v>
      </c>
      <c r="D1333">
        <v>632.66999999999996</v>
      </c>
    </row>
    <row r="1334" spans="1:4" x14ac:dyDescent="0.25">
      <c r="A1334" t="s">
        <v>16</v>
      </c>
      <c r="B1334" t="s">
        <v>5</v>
      </c>
      <c r="C1334" s="3">
        <v>44256</v>
      </c>
      <c r="D1334">
        <v>623.37</v>
      </c>
    </row>
    <row r="1335" spans="1:4" x14ac:dyDescent="0.25">
      <c r="A1335" t="s">
        <v>16</v>
      </c>
      <c r="B1335" t="s">
        <v>5</v>
      </c>
      <c r="C1335" s="3">
        <v>44287</v>
      </c>
      <c r="D1335">
        <v>626.11</v>
      </c>
    </row>
    <row r="1336" spans="1:4" x14ac:dyDescent="0.25">
      <c r="A1336" t="s">
        <v>16</v>
      </c>
      <c r="B1336" t="s">
        <v>5</v>
      </c>
      <c r="C1336" s="3">
        <v>44317</v>
      </c>
      <c r="D1336">
        <v>636.96</v>
      </c>
    </row>
    <row r="1337" spans="1:4" x14ac:dyDescent="0.25">
      <c r="A1337" t="s">
        <v>16</v>
      </c>
      <c r="B1337" t="s">
        <v>5</v>
      </c>
      <c r="C1337" s="3">
        <v>44348</v>
      </c>
      <c r="D1337">
        <v>642.30999999999995</v>
      </c>
    </row>
    <row r="1338" spans="1:4" x14ac:dyDescent="0.25">
      <c r="A1338" t="s">
        <v>16</v>
      </c>
      <c r="B1338" t="s">
        <v>5</v>
      </c>
      <c r="C1338" s="3">
        <v>44378</v>
      </c>
      <c r="D1338">
        <v>656.92</v>
      </c>
    </row>
    <row r="1339" spans="1:4" x14ac:dyDescent="0.25">
      <c r="A1339" t="s">
        <v>16</v>
      </c>
      <c r="B1339" t="s">
        <v>5</v>
      </c>
      <c r="C1339" s="3">
        <v>44409</v>
      </c>
      <c r="D1339">
        <v>664.67</v>
      </c>
    </row>
    <row r="1340" spans="1:4" x14ac:dyDescent="0.25">
      <c r="A1340" t="s">
        <v>16</v>
      </c>
      <c r="B1340" t="s">
        <v>5</v>
      </c>
      <c r="C1340" s="3">
        <v>44440</v>
      </c>
      <c r="D1340">
        <v>672.39</v>
      </c>
    </row>
    <row r="1341" spans="1:4" x14ac:dyDescent="0.25">
      <c r="A1341" t="s">
        <v>16</v>
      </c>
      <c r="B1341" t="s">
        <v>5</v>
      </c>
      <c r="C1341" s="3">
        <v>44470</v>
      </c>
      <c r="D1341">
        <v>691.08</v>
      </c>
    </row>
    <row r="1342" spans="1:4" x14ac:dyDescent="0.25">
      <c r="A1342" t="s">
        <v>16</v>
      </c>
      <c r="B1342" t="s">
        <v>5</v>
      </c>
      <c r="C1342" s="3">
        <v>44501</v>
      </c>
      <c r="D1342">
        <v>685.32</v>
      </c>
    </row>
    <row r="1343" spans="1:4" x14ac:dyDescent="0.25">
      <c r="A1343" t="s">
        <v>16</v>
      </c>
      <c r="B1343" t="s">
        <v>5</v>
      </c>
      <c r="C1343" s="3">
        <v>44531</v>
      </c>
      <c r="D1343">
        <v>682.9</v>
      </c>
    </row>
    <row r="1344" spans="1:4" x14ac:dyDescent="0.25">
      <c r="A1344" t="s">
        <v>16</v>
      </c>
      <c r="B1344" t="s">
        <v>5</v>
      </c>
      <c r="C1344" s="3">
        <v>44562</v>
      </c>
      <c r="D1344">
        <v>673</v>
      </c>
    </row>
    <row r="1345" spans="1:4" x14ac:dyDescent="0.25">
      <c r="A1345" t="s">
        <v>16</v>
      </c>
      <c r="B1345" t="s">
        <v>5</v>
      </c>
      <c r="C1345" s="3">
        <v>44593</v>
      </c>
      <c r="D1345">
        <v>695.91</v>
      </c>
    </row>
    <row r="1346" spans="1:4" x14ac:dyDescent="0.25">
      <c r="A1346" t="s">
        <v>16</v>
      </c>
      <c r="B1346" t="s">
        <v>5</v>
      </c>
      <c r="C1346" s="3">
        <v>44621</v>
      </c>
      <c r="D1346">
        <v>734.28</v>
      </c>
    </row>
    <row r="1347" spans="1:4" x14ac:dyDescent="0.25">
      <c r="A1347" t="s">
        <v>16</v>
      </c>
      <c r="B1347" t="s">
        <v>5</v>
      </c>
      <c r="C1347" s="3">
        <v>44652</v>
      </c>
      <c r="D1347">
        <v>780.86</v>
      </c>
    </row>
    <row r="1348" spans="1:4" x14ac:dyDescent="0.25">
      <c r="A1348" t="s">
        <v>16</v>
      </c>
      <c r="B1348" t="s">
        <v>5</v>
      </c>
      <c r="C1348" s="3">
        <v>44682</v>
      </c>
      <c r="D1348">
        <v>768.76</v>
      </c>
    </row>
    <row r="1349" spans="1:4" x14ac:dyDescent="0.25">
      <c r="A1349" t="s">
        <v>16</v>
      </c>
      <c r="B1349" t="s">
        <v>5</v>
      </c>
      <c r="C1349" s="3">
        <v>44713</v>
      </c>
      <c r="D1349">
        <v>754.19</v>
      </c>
    </row>
    <row r="1350" spans="1:4" x14ac:dyDescent="0.25">
      <c r="A1350" t="s">
        <v>16</v>
      </c>
      <c r="B1350" t="s">
        <v>5</v>
      </c>
      <c r="C1350" s="3">
        <v>44743</v>
      </c>
      <c r="D1350">
        <v>752.84</v>
      </c>
    </row>
    <row r="1351" spans="1:4" x14ac:dyDescent="0.25">
      <c r="A1351" t="s">
        <v>16</v>
      </c>
      <c r="B1351" t="s">
        <v>5</v>
      </c>
      <c r="C1351" s="3">
        <v>44774</v>
      </c>
      <c r="D1351">
        <v>748.06</v>
      </c>
    </row>
    <row r="1352" spans="1:4" x14ac:dyDescent="0.25">
      <c r="A1352" t="s">
        <v>16</v>
      </c>
      <c r="B1352" t="s">
        <v>5</v>
      </c>
      <c r="C1352" s="3">
        <v>44805</v>
      </c>
      <c r="D1352">
        <v>743.94</v>
      </c>
    </row>
    <row r="1353" spans="1:4" x14ac:dyDescent="0.25">
      <c r="A1353" t="s">
        <v>16</v>
      </c>
      <c r="B1353" t="s">
        <v>5</v>
      </c>
      <c r="C1353" s="3">
        <v>44835</v>
      </c>
      <c r="D1353">
        <v>768.82</v>
      </c>
    </row>
    <row r="1354" spans="1:4" x14ac:dyDescent="0.25">
      <c r="A1354" t="s">
        <v>16</v>
      </c>
      <c r="B1354" t="s">
        <v>5</v>
      </c>
      <c r="C1354" s="3">
        <v>44866</v>
      </c>
      <c r="D1354">
        <v>781.52</v>
      </c>
    </row>
    <row r="1355" spans="1:4" x14ac:dyDescent="0.25">
      <c r="A1355" t="s">
        <v>16</v>
      </c>
      <c r="B1355" t="s">
        <v>5</v>
      </c>
      <c r="C1355" s="3">
        <v>44896</v>
      </c>
      <c r="D1355">
        <v>765.63</v>
      </c>
    </row>
    <row r="1356" spans="1:4" x14ac:dyDescent="0.25">
      <c r="A1356" t="s">
        <v>16</v>
      </c>
      <c r="B1356" t="s">
        <v>5</v>
      </c>
      <c r="C1356" s="3">
        <v>44927</v>
      </c>
      <c r="D1356">
        <v>757.33</v>
      </c>
    </row>
    <row r="1357" spans="1:4" x14ac:dyDescent="0.25">
      <c r="A1357" t="s">
        <v>16</v>
      </c>
      <c r="B1357" t="s">
        <v>5</v>
      </c>
      <c r="C1357" s="3">
        <v>44958</v>
      </c>
      <c r="D1357">
        <v>741.3</v>
      </c>
    </row>
    <row r="1358" spans="1:4" x14ac:dyDescent="0.25">
      <c r="A1358" t="s">
        <v>16</v>
      </c>
      <c r="B1358" t="s">
        <v>5</v>
      </c>
      <c r="C1358" s="3">
        <v>44986</v>
      </c>
      <c r="D1358">
        <v>746.12</v>
      </c>
    </row>
    <row r="1359" spans="1:4" x14ac:dyDescent="0.25">
      <c r="A1359" t="s">
        <v>16</v>
      </c>
      <c r="B1359" t="s">
        <v>5</v>
      </c>
      <c r="C1359" s="3">
        <v>45017</v>
      </c>
      <c r="D1359">
        <v>783.55</v>
      </c>
    </row>
    <row r="1360" spans="1:4" x14ac:dyDescent="0.25">
      <c r="A1360" t="s">
        <v>16</v>
      </c>
      <c r="B1360" t="s">
        <v>5</v>
      </c>
      <c r="C1360" s="3">
        <v>45047</v>
      </c>
      <c r="D1360">
        <v>781.56</v>
      </c>
    </row>
    <row r="1361" spans="1:4" x14ac:dyDescent="0.25">
      <c r="A1361" t="s">
        <v>16</v>
      </c>
      <c r="B1361" t="s">
        <v>5</v>
      </c>
      <c r="C1361" s="3">
        <v>45078</v>
      </c>
      <c r="D1361">
        <v>773.56</v>
      </c>
    </row>
    <row r="1362" spans="1:4" x14ac:dyDescent="0.25">
      <c r="A1362" t="s">
        <v>16</v>
      </c>
      <c r="B1362" t="s">
        <v>5</v>
      </c>
      <c r="C1362" s="3">
        <v>45108</v>
      </c>
      <c r="D1362">
        <v>777.16</v>
      </c>
    </row>
    <row r="1363" spans="1:4" x14ac:dyDescent="0.25">
      <c r="A1363" t="s">
        <v>16</v>
      </c>
      <c r="B1363" t="s">
        <v>5</v>
      </c>
      <c r="C1363" s="3">
        <v>45139</v>
      </c>
      <c r="D1363">
        <v>760.59</v>
      </c>
    </row>
    <row r="1364" spans="1:4" x14ac:dyDescent="0.25">
      <c r="A1364" t="s">
        <v>16</v>
      </c>
      <c r="B1364" t="s">
        <v>5</v>
      </c>
      <c r="C1364" s="3">
        <v>45170</v>
      </c>
      <c r="D1364">
        <v>741.71</v>
      </c>
    </row>
    <row r="1365" spans="1:4" x14ac:dyDescent="0.25">
      <c r="A1365" t="s">
        <v>16</v>
      </c>
      <c r="B1365" t="s">
        <v>5</v>
      </c>
      <c r="C1365" s="3">
        <v>45200</v>
      </c>
      <c r="D1365">
        <v>739.21</v>
      </c>
    </row>
    <row r="1366" spans="1:4" x14ac:dyDescent="0.25">
      <c r="A1366" t="s">
        <v>16</v>
      </c>
      <c r="B1366" t="s">
        <v>5</v>
      </c>
      <c r="C1366" s="3">
        <v>45231</v>
      </c>
      <c r="D1366">
        <v>739.18</v>
      </c>
    </row>
    <row r="1367" spans="1:4" x14ac:dyDescent="0.25">
      <c r="A1367" t="s">
        <v>16</v>
      </c>
      <c r="B1367" t="s">
        <v>5</v>
      </c>
      <c r="C1367" s="3">
        <v>45261</v>
      </c>
      <c r="D1367">
        <v>766.53</v>
      </c>
    </row>
    <row r="1368" spans="1:4" x14ac:dyDescent="0.25">
      <c r="A1368" t="s">
        <v>16</v>
      </c>
      <c r="B1368" t="s">
        <v>5</v>
      </c>
      <c r="C1368" s="3">
        <v>45292</v>
      </c>
      <c r="D1368">
        <v>791.16</v>
      </c>
    </row>
    <row r="1369" spans="1:4" x14ac:dyDescent="0.25">
      <c r="A1369" t="s">
        <v>16</v>
      </c>
      <c r="B1369" t="s">
        <v>5</v>
      </c>
      <c r="C1369" s="3">
        <v>45323</v>
      </c>
      <c r="D1369">
        <v>796.81</v>
      </c>
    </row>
    <row r="1370" spans="1:4" x14ac:dyDescent="0.25">
      <c r="A1370" t="s">
        <v>16</v>
      </c>
      <c r="B1370" t="s">
        <v>5</v>
      </c>
      <c r="C1370" s="3">
        <v>45352</v>
      </c>
      <c r="D1370">
        <v>777.43</v>
      </c>
    </row>
    <row r="1371" spans="1:4" x14ac:dyDescent="0.25">
      <c r="A1371" t="s">
        <v>16</v>
      </c>
      <c r="B1371" t="s">
        <v>5</v>
      </c>
      <c r="C1371" s="3">
        <v>45383</v>
      </c>
      <c r="D1371">
        <v>775.63</v>
      </c>
    </row>
    <row r="1372" spans="1:4" x14ac:dyDescent="0.25">
      <c r="A1372" t="s">
        <v>16</v>
      </c>
      <c r="B1372" t="s">
        <v>5</v>
      </c>
      <c r="C1372" s="3">
        <v>45413</v>
      </c>
      <c r="D1372">
        <v>801.45</v>
      </c>
    </row>
    <row r="1373" spans="1:4" x14ac:dyDescent="0.25">
      <c r="A1373" t="s">
        <v>16</v>
      </c>
      <c r="B1373" t="s">
        <v>5</v>
      </c>
      <c r="C1373" s="3">
        <v>45444</v>
      </c>
      <c r="D1373">
        <v>804.86</v>
      </c>
    </row>
    <row r="1374" spans="1:4" x14ac:dyDescent="0.25">
      <c r="A1374" t="s">
        <v>16</v>
      </c>
      <c r="B1374" t="s">
        <v>5</v>
      </c>
      <c r="C1374" s="3">
        <v>45474</v>
      </c>
      <c r="D1374">
        <v>769.96</v>
      </c>
    </row>
    <row r="1375" spans="1:4" x14ac:dyDescent="0.25">
      <c r="A1375" t="s">
        <v>16</v>
      </c>
      <c r="B1375" t="s">
        <v>5</v>
      </c>
      <c r="C1375" s="3">
        <v>45505</v>
      </c>
      <c r="D1375">
        <v>740.82</v>
      </c>
    </row>
    <row r="1376" spans="1:4" x14ac:dyDescent="0.25">
      <c r="A1376" t="s">
        <v>16</v>
      </c>
      <c r="B1376" t="s">
        <v>5</v>
      </c>
      <c r="C1376" s="3">
        <v>45536</v>
      </c>
      <c r="D1376">
        <v>756.17</v>
      </c>
    </row>
    <row r="1377" spans="1:4" x14ac:dyDescent="0.25">
      <c r="A1377" t="s">
        <v>16</v>
      </c>
      <c r="B1377" t="s">
        <v>5</v>
      </c>
      <c r="C1377" s="3">
        <v>45566</v>
      </c>
      <c r="D1377">
        <v>774.32</v>
      </c>
    </row>
    <row r="1378" spans="1:4" x14ac:dyDescent="0.25">
      <c r="A1378" t="s">
        <v>16</v>
      </c>
      <c r="B1378" t="s">
        <v>5</v>
      </c>
      <c r="C1378" s="3">
        <v>45597</v>
      </c>
      <c r="D1378">
        <v>780.71</v>
      </c>
    </row>
    <row r="1379" spans="1:4" x14ac:dyDescent="0.25">
      <c r="A1379" t="s">
        <v>16</v>
      </c>
      <c r="B1379" t="s">
        <v>5</v>
      </c>
      <c r="C1379" s="3">
        <v>45627</v>
      </c>
      <c r="D1379">
        <v>783.72</v>
      </c>
    </row>
    <row r="1380" spans="1:4" x14ac:dyDescent="0.25">
      <c r="A1380" t="s">
        <v>16</v>
      </c>
      <c r="B1380" t="s">
        <v>5</v>
      </c>
      <c r="C1380" s="3">
        <v>45658</v>
      </c>
      <c r="D1380">
        <v>770.63</v>
      </c>
    </row>
    <row r="1381" spans="1:4" x14ac:dyDescent="0.25">
      <c r="A1381" t="s">
        <v>16</v>
      </c>
      <c r="B1381" t="s">
        <v>5</v>
      </c>
      <c r="C1381" s="3">
        <v>45689</v>
      </c>
      <c r="D1381">
        <v>769.74</v>
      </c>
    </row>
    <row r="1382" spans="1:4" x14ac:dyDescent="0.25">
      <c r="A1382" t="s">
        <v>16</v>
      </c>
      <c r="B1382" t="s">
        <v>5</v>
      </c>
      <c r="C1382" s="3">
        <v>45717</v>
      </c>
      <c r="D1382">
        <v>791.64</v>
      </c>
    </row>
    <row r="1383" spans="1:4" x14ac:dyDescent="0.25">
      <c r="A1383" t="s">
        <v>16</v>
      </c>
      <c r="B1383" t="s">
        <v>5</v>
      </c>
      <c r="C1383" s="3">
        <v>45748</v>
      </c>
      <c r="D1383">
        <v>834.22</v>
      </c>
    </row>
    <row r="1384" spans="1:4" x14ac:dyDescent="0.25">
      <c r="A1384" t="s">
        <v>16</v>
      </c>
      <c r="B1384" t="s">
        <v>5</v>
      </c>
      <c r="C1384" s="3">
        <v>45778</v>
      </c>
      <c r="D1384">
        <v>819.05</v>
      </c>
    </row>
    <row r="1385" spans="1:4" x14ac:dyDescent="0.25">
      <c r="A1385" t="s">
        <v>16</v>
      </c>
      <c r="B1385" t="s">
        <v>5</v>
      </c>
      <c r="C1385" s="3">
        <v>45809</v>
      </c>
      <c r="D1385">
        <v>831.37</v>
      </c>
    </row>
    <row r="1386" spans="1:4" x14ac:dyDescent="0.25">
      <c r="A1386" t="s">
        <v>17</v>
      </c>
      <c r="B1386" t="s">
        <v>5</v>
      </c>
      <c r="C1386" s="3">
        <v>42005</v>
      </c>
      <c r="D1386">
        <v>290.43</v>
      </c>
    </row>
    <row r="1387" spans="1:4" x14ac:dyDescent="0.25">
      <c r="A1387" t="s">
        <v>17</v>
      </c>
      <c r="B1387" t="s">
        <v>5</v>
      </c>
      <c r="C1387" s="3">
        <v>42036</v>
      </c>
      <c r="D1387">
        <v>294.93</v>
      </c>
    </row>
    <row r="1388" spans="1:4" x14ac:dyDescent="0.25">
      <c r="A1388" t="s">
        <v>17</v>
      </c>
      <c r="B1388" t="s">
        <v>5</v>
      </c>
      <c r="C1388" s="3">
        <v>42064</v>
      </c>
      <c r="D1388">
        <v>298.60000000000002</v>
      </c>
    </row>
    <row r="1389" spans="1:4" x14ac:dyDescent="0.25">
      <c r="A1389" t="s">
        <v>17</v>
      </c>
      <c r="B1389" t="s">
        <v>5</v>
      </c>
      <c r="C1389" s="3">
        <v>42095</v>
      </c>
      <c r="D1389">
        <v>307.45999999999998</v>
      </c>
    </row>
    <row r="1390" spans="1:4" x14ac:dyDescent="0.25">
      <c r="A1390" t="s">
        <v>17</v>
      </c>
      <c r="B1390" t="s">
        <v>5</v>
      </c>
      <c r="C1390" s="3">
        <v>42125</v>
      </c>
      <c r="D1390">
        <v>331.23</v>
      </c>
    </row>
    <row r="1391" spans="1:4" x14ac:dyDescent="0.25">
      <c r="A1391" t="s">
        <v>17</v>
      </c>
      <c r="B1391" t="s">
        <v>5</v>
      </c>
      <c r="C1391" s="3">
        <v>42156</v>
      </c>
      <c r="D1391">
        <v>318.52999999999997</v>
      </c>
    </row>
    <row r="1392" spans="1:4" x14ac:dyDescent="0.25">
      <c r="A1392" t="s">
        <v>17</v>
      </c>
      <c r="B1392" t="s">
        <v>5</v>
      </c>
      <c r="C1392" s="3">
        <v>42186</v>
      </c>
      <c r="D1392">
        <v>309.38</v>
      </c>
    </row>
    <row r="1393" spans="1:4" x14ac:dyDescent="0.25">
      <c r="A1393" t="s">
        <v>17</v>
      </c>
      <c r="B1393" t="s">
        <v>5</v>
      </c>
      <c r="C1393" s="3">
        <v>42217</v>
      </c>
      <c r="D1393">
        <v>309.42</v>
      </c>
    </row>
    <row r="1394" spans="1:4" x14ac:dyDescent="0.25">
      <c r="A1394" t="s">
        <v>17</v>
      </c>
      <c r="B1394" t="s">
        <v>5</v>
      </c>
      <c r="C1394" s="3">
        <v>42248</v>
      </c>
      <c r="D1394">
        <v>298.58</v>
      </c>
    </row>
    <row r="1395" spans="1:4" x14ac:dyDescent="0.25">
      <c r="A1395" t="s">
        <v>17</v>
      </c>
      <c r="B1395" t="s">
        <v>5</v>
      </c>
      <c r="C1395" s="3">
        <v>42278</v>
      </c>
      <c r="D1395">
        <v>297.77999999999997</v>
      </c>
    </row>
    <row r="1396" spans="1:4" x14ac:dyDescent="0.25">
      <c r="A1396" t="s">
        <v>17</v>
      </c>
      <c r="B1396" t="s">
        <v>5</v>
      </c>
      <c r="C1396" s="3">
        <v>42309</v>
      </c>
      <c r="D1396">
        <v>323.14999999999998</v>
      </c>
    </row>
    <row r="1397" spans="1:4" x14ac:dyDescent="0.25">
      <c r="A1397" t="s">
        <v>17</v>
      </c>
      <c r="B1397" t="s">
        <v>5</v>
      </c>
      <c r="C1397" s="3">
        <v>42339</v>
      </c>
      <c r="D1397">
        <v>327.82</v>
      </c>
    </row>
    <row r="1398" spans="1:4" x14ac:dyDescent="0.25">
      <c r="A1398" t="s">
        <v>17</v>
      </c>
      <c r="B1398" t="s">
        <v>5</v>
      </c>
      <c r="C1398" s="3">
        <v>42370</v>
      </c>
      <c r="D1398">
        <v>344.47</v>
      </c>
    </row>
    <row r="1399" spans="1:4" x14ac:dyDescent="0.25">
      <c r="A1399" t="s">
        <v>17</v>
      </c>
      <c r="B1399" t="s">
        <v>5</v>
      </c>
      <c r="C1399" s="3">
        <v>42401</v>
      </c>
      <c r="D1399">
        <v>349.96</v>
      </c>
    </row>
    <row r="1400" spans="1:4" x14ac:dyDescent="0.25">
      <c r="A1400" t="s">
        <v>17</v>
      </c>
      <c r="B1400" t="s">
        <v>5</v>
      </c>
      <c r="C1400" s="3">
        <v>42430</v>
      </c>
      <c r="D1400">
        <v>347.21</v>
      </c>
    </row>
    <row r="1401" spans="1:4" x14ac:dyDescent="0.25">
      <c r="A1401" t="s">
        <v>17</v>
      </c>
      <c r="B1401" t="s">
        <v>5</v>
      </c>
      <c r="C1401" s="3">
        <v>42461</v>
      </c>
      <c r="D1401">
        <v>358.55</v>
      </c>
    </row>
    <row r="1402" spans="1:4" x14ac:dyDescent="0.25">
      <c r="A1402" t="s">
        <v>17</v>
      </c>
      <c r="B1402" t="s">
        <v>5</v>
      </c>
      <c r="C1402" s="3">
        <v>42491</v>
      </c>
      <c r="D1402">
        <v>353.78</v>
      </c>
    </row>
    <row r="1403" spans="1:4" x14ac:dyDescent="0.25">
      <c r="A1403" t="s">
        <v>17</v>
      </c>
      <c r="B1403" t="s">
        <v>5</v>
      </c>
      <c r="C1403" s="3">
        <v>42522</v>
      </c>
      <c r="D1403">
        <v>365.79</v>
      </c>
    </row>
    <row r="1404" spans="1:4" x14ac:dyDescent="0.25">
      <c r="A1404" t="s">
        <v>17</v>
      </c>
      <c r="B1404" t="s">
        <v>5</v>
      </c>
      <c r="C1404" s="3">
        <v>42552</v>
      </c>
      <c r="D1404">
        <v>374.54</v>
      </c>
    </row>
    <row r="1405" spans="1:4" x14ac:dyDescent="0.25">
      <c r="A1405" t="s">
        <v>17</v>
      </c>
      <c r="B1405" t="s">
        <v>5</v>
      </c>
      <c r="C1405" s="3">
        <v>42583</v>
      </c>
      <c r="D1405">
        <v>371.6</v>
      </c>
    </row>
    <row r="1406" spans="1:4" x14ac:dyDescent="0.25">
      <c r="A1406" t="s">
        <v>17</v>
      </c>
      <c r="B1406" t="s">
        <v>5</v>
      </c>
      <c r="C1406" s="3">
        <v>42614</v>
      </c>
      <c r="D1406">
        <v>375.55</v>
      </c>
    </row>
    <row r="1407" spans="1:4" x14ac:dyDescent="0.25">
      <c r="A1407" t="s">
        <v>17</v>
      </c>
      <c r="B1407" t="s">
        <v>5</v>
      </c>
      <c r="C1407" s="3">
        <v>42644</v>
      </c>
      <c r="D1407">
        <v>373.66</v>
      </c>
    </row>
    <row r="1408" spans="1:4" x14ac:dyDescent="0.25">
      <c r="A1408" t="s">
        <v>17</v>
      </c>
      <c r="B1408" t="s">
        <v>5</v>
      </c>
      <c r="C1408" s="3">
        <v>42675</v>
      </c>
      <c r="D1408">
        <v>353.08</v>
      </c>
    </row>
    <row r="1409" spans="1:4" x14ac:dyDescent="0.25">
      <c r="A1409" t="s">
        <v>17</v>
      </c>
      <c r="B1409" t="s">
        <v>5</v>
      </c>
      <c r="C1409" s="3">
        <v>42705</v>
      </c>
      <c r="D1409">
        <v>347.96</v>
      </c>
    </row>
    <row r="1410" spans="1:4" x14ac:dyDescent="0.25">
      <c r="A1410" t="s">
        <v>17</v>
      </c>
      <c r="B1410" t="s">
        <v>5</v>
      </c>
      <c r="C1410" s="3">
        <v>42736</v>
      </c>
      <c r="D1410">
        <v>346.44</v>
      </c>
    </row>
    <row r="1411" spans="1:4" x14ac:dyDescent="0.25">
      <c r="A1411" t="s">
        <v>17</v>
      </c>
      <c r="B1411" t="s">
        <v>5</v>
      </c>
      <c r="C1411" s="3">
        <v>42767</v>
      </c>
      <c r="D1411">
        <v>344.06</v>
      </c>
    </row>
    <row r="1412" spans="1:4" x14ac:dyDescent="0.25">
      <c r="A1412" t="s">
        <v>17</v>
      </c>
      <c r="B1412" t="s">
        <v>5</v>
      </c>
      <c r="C1412" s="3">
        <v>42795</v>
      </c>
      <c r="D1412">
        <v>356.21</v>
      </c>
    </row>
    <row r="1413" spans="1:4" x14ac:dyDescent="0.25">
      <c r="A1413" t="s">
        <v>17</v>
      </c>
      <c r="B1413" t="s">
        <v>5</v>
      </c>
      <c r="C1413" s="3">
        <v>42826</v>
      </c>
      <c r="D1413">
        <v>368.74</v>
      </c>
    </row>
    <row r="1414" spans="1:4" x14ac:dyDescent="0.25">
      <c r="A1414" t="s">
        <v>17</v>
      </c>
      <c r="B1414" t="s">
        <v>5</v>
      </c>
      <c r="C1414" s="3">
        <v>42856</v>
      </c>
      <c r="D1414">
        <v>379.39</v>
      </c>
    </row>
    <row r="1415" spans="1:4" x14ac:dyDescent="0.25">
      <c r="A1415" t="s">
        <v>17</v>
      </c>
      <c r="B1415" t="s">
        <v>5</v>
      </c>
      <c r="C1415" s="3">
        <v>42887</v>
      </c>
      <c r="D1415">
        <v>373.84</v>
      </c>
    </row>
    <row r="1416" spans="1:4" x14ac:dyDescent="0.25">
      <c r="A1416" t="s">
        <v>17</v>
      </c>
      <c r="B1416" t="s">
        <v>5</v>
      </c>
      <c r="C1416" s="3">
        <v>42917</v>
      </c>
      <c r="D1416">
        <v>361.65</v>
      </c>
    </row>
    <row r="1417" spans="1:4" x14ac:dyDescent="0.25">
      <c r="A1417" t="s">
        <v>17</v>
      </c>
      <c r="B1417" t="s">
        <v>5</v>
      </c>
      <c r="C1417" s="3">
        <v>42948</v>
      </c>
      <c r="D1417">
        <v>340.54</v>
      </c>
    </row>
    <row r="1418" spans="1:4" x14ac:dyDescent="0.25">
      <c r="A1418" t="s">
        <v>17</v>
      </c>
      <c r="B1418" t="s">
        <v>5</v>
      </c>
      <c r="C1418" s="3">
        <v>42979</v>
      </c>
      <c r="D1418">
        <v>328.63</v>
      </c>
    </row>
    <row r="1419" spans="1:4" x14ac:dyDescent="0.25">
      <c r="A1419" t="s">
        <v>17</v>
      </c>
      <c r="B1419" t="s">
        <v>5</v>
      </c>
      <c r="C1419" s="3">
        <v>43009</v>
      </c>
      <c r="D1419">
        <v>325.95999999999998</v>
      </c>
    </row>
    <row r="1420" spans="1:4" x14ac:dyDescent="0.25">
      <c r="A1420" t="s">
        <v>17</v>
      </c>
      <c r="B1420" t="s">
        <v>5</v>
      </c>
      <c r="C1420" s="3">
        <v>43040</v>
      </c>
      <c r="D1420">
        <v>327.85</v>
      </c>
    </row>
    <row r="1421" spans="1:4" x14ac:dyDescent="0.25">
      <c r="A1421" t="s">
        <v>17</v>
      </c>
      <c r="B1421" t="s">
        <v>5</v>
      </c>
      <c r="C1421" s="3">
        <v>43070</v>
      </c>
      <c r="D1421">
        <v>332.15</v>
      </c>
    </row>
    <row r="1422" spans="1:4" x14ac:dyDescent="0.25">
      <c r="A1422" t="s">
        <v>17</v>
      </c>
      <c r="B1422" t="s">
        <v>5</v>
      </c>
      <c r="C1422" s="3">
        <v>43101</v>
      </c>
      <c r="D1422">
        <v>356.47</v>
      </c>
    </row>
    <row r="1423" spans="1:4" x14ac:dyDescent="0.25">
      <c r="A1423" t="s">
        <v>17</v>
      </c>
      <c r="B1423" t="s">
        <v>5</v>
      </c>
      <c r="C1423" s="3">
        <v>43132</v>
      </c>
      <c r="D1423">
        <v>356.06</v>
      </c>
    </row>
    <row r="1424" spans="1:4" x14ac:dyDescent="0.25">
      <c r="A1424" t="s">
        <v>17</v>
      </c>
      <c r="B1424" t="s">
        <v>5</v>
      </c>
      <c r="C1424" s="3">
        <v>43160</v>
      </c>
      <c r="D1424">
        <v>342.46</v>
      </c>
    </row>
    <row r="1425" spans="1:4" x14ac:dyDescent="0.25">
      <c r="A1425" t="s">
        <v>17</v>
      </c>
      <c r="B1425" t="s">
        <v>5</v>
      </c>
      <c r="C1425" s="3">
        <v>43191</v>
      </c>
      <c r="D1425">
        <v>333.11</v>
      </c>
    </row>
    <row r="1426" spans="1:4" x14ac:dyDescent="0.25">
      <c r="A1426" t="s">
        <v>17</v>
      </c>
      <c r="B1426" t="s">
        <v>5</v>
      </c>
      <c r="C1426" s="3">
        <v>43221</v>
      </c>
      <c r="D1426">
        <v>336.36</v>
      </c>
    </row>
    <row r="1427" spans="1:4" x14ac:dyDescent="0.25">
      <c r="A1427" t="s">
        <v>17</v>
      </c>
      <c r="B1427" t="s">
        <v>5</v>
      </c>
      <c r="C1427" s="3">
        <v>43252</v>
      </c>
      <c r="D1427">
        <v>355.93</v>
      </c>
    </row>
    <row r="1428" spans="1:4" x14ac:dyDescent="0.25">
      <c r="A1428" t="s">
        <v>17</v>
      </c>
      <c r="B1428" t="s">
        <v>5</v>
      </c>
      <c r="C1428" s="3">
        <v>43282</v>
      </c>
      <c r="D1428">
        <v>347.43</v>
      </c>
    </row>
    <row r="1429" spans="1:4" x14ac:dyDescent="0.25">
      <c r="A1429" t="s">
        <v>17</v>
      </c>
      <c r="B1429" t="s">
        <v>5</v>
      </c>
      <c r="C1429" s="3">
        <v>43313</v>
      </c>
      <c r="D1429">
        <v>340.14</v>
      </c>
    </row>
    <row r="1430" spans="1:4" x14ac:dyDescent="0.25">
      <c r="A1430" t="s">
        <v>17</v>
      </c>
      <c r="B1430" t="s">
        <v>5</v>
      </c>
      <c r="C1430" s="3">
        <v>43344</v>
      </c>
      <c r="D1430">
        <v>332.75</v>
      </c>
    </row>
    <row r="1431" spans="1:4" x14ac:dyDescent="0.25">
      <c r="A1431" t="s">
        <v>17</v>
      </c>
      <c r="B1431" t="s">
        <v>5</v>
      </c>
      <c r="C1431" s="3">
        <v>43374</v>
      </c>
      <c r="D1431">
        <v>330.2</v>
      </c>
    </row>
    <row r="1432" spans="1:4" x14ac:dyDescent="0.25">
      <c r="A1432" t="s">
        <v>17</v>
      </c>
      <c r="B1432" t="s">
        <v>5</v>
      </c>
      <c r="C1432" s="3">
        <v>43405</v>
      </c>
      <c r="D1432">
        <v>333.5</v>
      </c>
    </row>
    <row r="1433" spans="1:4" x14ac:dyDescent="0.25">
      <c r="A1433" t="s">
        <v>17</v>
      </c>
      <c r="B1433" t="s">
        <v>5</v>
      </c>
      <c r="C1433" s="3">
        <v>43435</v>
      </c>
      <c r="D1433">
        <v>340.57</v>
      </c>
    </row>
    <row r="1434" spans="1:4" x14ac:dyDescent="0.25">
      <c r="A1434" t="s">
        <v>17</v>
      </c>
      <c r="B1434" t="s">
        <v>5</v>
      </c>
      <c r="C1434" s="3">
        <v>43466</v>
      </c>
      <c r="D1434">
        <v>348.85</v>
      </c>
    </row>
    <row r="1435" spans="1:4" x14ac:dyDescent="0.25">
      <c r="A1435" t="s">
        <v>17</v>
      </c>
      <c r="B1435" t="s">
        <v>5</v>
      </c>
      <c r="C1435" s="3">
        <v>43497</v>
      </c>
      <c r="D1435">
        <v>376.34</v>
      </c>
    </row>
    <row r="1436" spans="1:4" x14ac:dyDescent="0.25">
      <c r="A1436" t="s">
        <v>17</v>
      </c>
      <c r="B1436" t="s">
        <v>5</v>
      </c>
      <c r="C1436" s="3">
        <v>43525</v>
      </c>
      <c r="D1436">
        <v>401.35</v>
      </c>
    </row>
    <row r="1437" spans="1:4" x14ac:dyDescent="0.25">
      <c r="A1437" t="s">
        <v>17</v>
      </c>
      <c r="B1437" t="s">
        <v>5</v>
      </c>
      <c r="C1437" s="3">
        <v>43556</v>
      </c>
      <c r="D1437">
        <v>417.03</v>
      </c>
    </row>
    <row r="1438" spans="1:4" x14ac:dyDescent="0.25">
      <c r="A1438" t="s">
        <v>17</v>
      </c>
      <c r="B1438" t="s">
        <v>5</v>
      </c>
      <c r="C1438" s="3">
        <v>43586</v>
      </c>
      <c r="D1438">
        <v>417.85</v>
      </c>
    </row>
    <row r="1439" spans="1:4" x14ac:dyDescent="0.25">
      <c r="A1439" t="s">
        <v>17</v>
      </c>
      <c r="B1439" t="s">
        <v>5</v>
      </c>
      <c r="C1439" s="3">
        <v>43617</v>
      </c>
      <c r="D1439">
        <v>396.21</v>
      </c>
    </row>
    <row r="1440" spans="1:4" x14ac:dyDescent="0.25">
      <c r="A1440" t="s">
        <v>17</v>
      </c>
      <c r="B1440" t="s">
        <v>5</v>
      </c>
      <c r="C1440" s="3">
        <v>43647</v>
      </c>
      <c r="D1440">
        <v>381.1</v>
      </c>
    </row>
    <row r="1441" spans="1:4" x14ac:dyDescent="0.25">
      <c r="A1441" t="s">
        <v>17</v>
      </c>
      <c r="B1441" t="s">
        <v>5</v>
      </c>
      <c r="C1441" s="3">
        <v>43678</v>
      </c>
      <c r="D1441">
        <v>361.64</v>
      </c>
    </row>
    <row r="1442" spans="1:4" x14ac:dyDescent="0.25">
      <c r="A1442" t="s">
        <v>17</v>
      </c>
      <c r="B1442" t="s">
        <v>5</v>
      </c>
      <c r="C1442" s="3">
        <v>43709</v>
      </c>
      <c r="D1442">
        <v>367.16</v>
      </c>
    </row>
    <row r="1443" spans="1:4" x14ac:dyDescent="0.25">
      <c r="A1443" t="s">
        <v>17</v>
      </c>
      <c r="B1443" t="s">
        <v>5</v>
      </c>
      <c r="C1443" s="3">
        <v>43739</v>
      </c>
      <c r="D1443">
        <v>359.55</v>
      </c>
    </row>
    <row r="1444" spans="1:4" x14ac:dyDescent="0.25">
      <c r="A1444" t="s">
        <v>17</v>
      </c>
      <c r="B1444" t="s">
        <v>5</v>
      </c>
      <c r="C1444" s="3">
        <v>43770</v>
      </c>
      <c r="D1444">
        <v>354.64</v>
      </c>
    </row>
    <row r="1445" spans="1:4" x14ac:dyDescent="0.25">
      <c r="A1445" t="s">
        <v>17</v>
      </c>
      <c r="B1445" t="s">
        <v>5</v>
      </c>
      <c r="C1445" s="3">
        <v>43800</v>
      </c>
      <c r="D1445">
        <v>393.8</v>
      </c>
    </row>
    <row r="1446" spans="1:4" x14ac:dyDescent="0.25">
      <c r="A1446" t="s">
        <v>17</v>
      </c>
      <c r="B1446" t="s">
        <v>5</v>
      </c>
      <c r="C1446" s="3">
        <v>43831</v>
      </c>
      <c r="D1446">
        <v>395.93</v>
      </c>
    </row>
    <row r="1447" spans="1:4" x14ac:dyDescent="0.25">
      <c r="A1447" t="s">
        <v>17</v>
      </c>
      <c r="B1447" t="s">
        <v>5</v>
      </c>
      <c r="C1447" s="3">
        <v>43862</v>
      </c>
      <c r="D1447">
        <v>420.27</v>
      </c>
    </row>
    <row r="1448" spans="1:4" x14ac:dyDescent="0.25">
      <c r="A1448" t="s">
        <v>17</v>
      </c>
      <c r="B1448" t="s">
        <v>5</v>
      </c>
      <c r="C1448" s="3">
        <v>43891</v>
      </c>
      <c r="D1448">
        <v>433.28</v>
      </c>
    </row>
    <row r="1449" spans="1:4" x14ac:dyDescent="0.25">
      <c r="A1449" t="s">
        <v>17</v>
      </c>
      <c r="B1449" t="s">
        <v>5</v>
      </c>
      <c r="C1449" s="3">
        <v>43922</v>
      </c>
      <c r="D1449">
        <v>461.26</v>
      </c>
    </row>
    <row r="1450" spans="1:4" x14ac:dyDescent="0.25">
      <c r="A1450" t="s">
        <v>17</v>
      </c>
      <c r="B1450" t="s">
        <v>5</v>
      </c>
      <c r="C1450" s="3">
        <v>43952</v>
      </c>
      <c r="D1450">
        <v>451.45</v>
      </c>
    </row>
    <row r="1451" spans="1:4" x14ac:dyDescent="0.25">
      <c r="A1451" t="s">
        <v>17</v>
      </c>
      <c r="B1451" t="s">
        <v>5</v>
      </c>
      <c r="C1451" s="3">
        <v>43983</v>
      </c>
      <c r="D1451">
        <v>435.3</v>
      </c>
    </row>
    <row r="1452" spans="1:4" x14ac:dyDescent="0.25">
      <c r="A1452" t="s">
        <v>17</v>
      </c>
      <c r="B1452" t="s">
        <v>5</v>
      </c>
      <c r="C1452" s="3">
        <v>44013</v>
      </c>
      <c r="D1452">
        <v>436.1</v>
      </c>
    </row>
    <row r="1453" spans="1:4" x14ac:dyDescent="0.25">
      <c r="A1453" t="s">
        <v>17</v>
      </c>
      <c r="B1453" t="s">
        <v>5</v>
      </c>
      <c r="C1453" s="3">
        <v>44044</v>
      </c>
      <c r="D1453">
        <v>439.19</v>
      </c>
    </row>
    <row r="1454" spans="1:4" x14ac:dyDescent="0.25">
      <c r="A1454" t="s">
        <v>17</v>
      </c>
      <c r="B1454" t="s">
        <v>5</v>
      </c>
      <c r="C1454" s="3">
        <v>44075</v>
      </c>
      <c r="D1454">
        <v>464.31</v>
      </c>
    </row>
    <row r="1455" spans="1:4" x14ac:dyDescent="0.25">
      <c r="A1455" t="s">
        <v>17</v>
      </c>
      <c r="B1455" t="s">
        <v>5</v>
      </c>
      <c r="C1455" s="3">
        <v>44105</v>
      </c>
      <c r="D1455">
        <v>469.05</v>
      </c>
    </row>
    <row r="1456" spans="1:4" x14ac:dyDescent="0.25">
      <c r="A1456" t="s">
        <v>17</v>
      </c>
      <c r="B1456" t="s">
        <v>5</v>
      </c>
      <c r="C1456" s="3">
        <v>44136</v>
      </c>
      <c r="D1456">
        <v>462.98</v>
      </c>
    </row>
    <row r="1457" spans="1:4" x14ac:dyDescent="0.25">
      <c r="A1457" t="s">
        <v>17</v>
      </c>
      <c r="B1457" t="s">
        <v>5</v>
      </c>
      <c r="C1457" s="3">
        <v>44166</v>
      </c>
      <c r="D1457">
        <v>469.39</v>
      </c>
    </row>
    <row r="1458" spans="1:4" x14ac:dyDescent="0.25">
      <c r="A1458" t="s">
        <v>17</v>
      </c>
      <c r="B1458" t="s">
        <v>5</v>
      </c>
      <c r="C1458" s="3">
        <v>44197</v>
      </c>
      <c r="D1458">
        <v>474.22</v>
      </c>
    </row>
    <row r="1459" spans="1:4" x14ac:dyDescent="0.25">
      <c r="A1459" t="s">
        <v>17</v>
      </c>
      <c r="B1459" t="s">
        <v>5</v>
      </c>
      <c r="C1459" s="3">
        <v>44228</v>
      </c>
      <c r="D1459">
        <v>469.71</v>
      </c>
    </row>
    <row r="1460" spans="1:4" x14ac:dyDescent="0.25">
      <c r="A1460" t="s">
        <v>17</v>
      </c>
      <c r="B1460" t="s">
        <v>5</v>
      </c>
      <c r="C1460" s="3">
        <v>44256</v>
      </c>
      <c r="D1460">
        <v>461.33</v>
      </c>
    </row>
    <row r="1461" spans="1:4" x14ac:dyDescent="0.25">
      <c r="A1461" t="s">
        <v>17</v>
      </c>
      <c r="B1461" t="s">
        <v>5</v>
      </c>
      <c r="C1461" s="3">
        <v>44287</v>
      </c>
      <c r="D1461">
        <v>471.52</v>
      </c>
    </row>
    <row r="1462" spans="1:4" x14ac:dyDescent="0.25">
      <c r="A1462" t="s">
        <v>17</v>
      </c>
      <c r="B1462" t="s">
        <v>5</v>
      </c>
      <c r="C1462" s="3">
        <v>44317</v>
      </c>
      <c r="D1462">
        <v>480.8</v>
      </c>
    </row>
    <row r="1463" spans="1:4" x14ac:dyDescent="0.25">
      <c r="A1463" t="s">
        <v>17</v>
      </c>
      <c r="B1463" t="s">
        <v>5</v>
      </c>
      <c r="C1463" s="3">
        <v>44348</v>
      </c>
      <c r="D1463">
        <v>483.92</v>
      </c>
    </row>
    <row r="1464" spans="1:4" x14ac:dyDescent="0.25">
      <c r="A1464" t="s">
        <v>17</v>
      </c>
      <c r="B1464" t="s">
        <v>5</v>
      </c>
      <c r="C1464" s="3">
        <v>44378</v>
      </c>
      <c r="D1464">
        <v>487.6</v>
      </c>
    </row>
    <row r="1465" spans="1:4" x14ac:dyDescent="0.25">
      <c r="A1465" t="s">
        <v>17</v>
      </c>
      <c r="B1465" t="s">
        <v>5</v>
      </c>
      <c r="C1465" s="3">
        <v>44409</v>
      </c>
      <c r="D1465">
        <v>491.46</v>
      </c>
    </row>
    <row r="1466" spans="1:4" x14ac:dyDescent="0.25">
      <c r="A1466" t="s">
        <v>17</v>
      </c>
      <c r="B1466" t="s">
        <v>5</v>
      </c>
      <c r="C1466" s="3">
        <v>44440</v>
      </c>
      <c r="D1466">
        <v>489.4</v>
      </c>
    </row>
    <row r="1467" spans="1:4" x14ac:dyDescent="0.25">
      <c r="A1467" t="s">
        <v>17</v>
      </c>
      <c r="B1467" t="s">
        <v>5</v>
      </c>
      <c r="C1467" s="3">
        <v>44470</v>
      </c>
      <c r="D1467">
        <v>485.26</v>
      </c>
    </row>
    <row r="1468" spans="1:4" x14ac:dyDescent="0.25">
      <c r="A1468" t="s">
        <v>17</v>
      </c>
      <c r="B1468" t="s">
        <v>5</v>
      </c>
      <c r="C1468" s="3">
        <v>44501</v>
      </c>
      <c r="D1468">
        <v>524.73</v>
      </c>
    </row>
    <row r="1469" spans="1:4" x14ac:dyDescent="0.25">
      <c r="A1469" t="s">
        <v>17</v>
      </c>
      <c r="B1469" t="s">
        <v>5</v>
      </c>
      <c r="C1469" s="3">
        <v>44531</v>
      </c>
      <c r="D1469">
        <v>532.37</v>
      </c>
    </row>
    <row r="1470" spans="1:4" x14ac:dyDescent="0.25">
      <c r="A1470" t="s">
        <v>17</v>
      </c>
      <c r="B1470" t="s">
        <v>5</v>
      </c>
      <c r="C1470" s="3">
        <v>44562</v>
      </c>
      <c r="D1470">
        <v>543.1</v>
      </c>
    </row>
    <row r="1471" spans="1:4" x14ac:dyDescent="0.25">
      <c r="A1471" t="s">
        <v>17</v>
      </c>
      <c r="B1471" t="s">
        <v>5</v>
      </c>
      <c r="C1471" s="3">
        <v>44593</v>
      </c>
      <c r="D1471">
        <v>549.20000000000005</v>
      </c>
    </row>
    <row r="1472" spans="1:4" x14ac:dyDescent="0.25">
      <c r="A1472" t="s">
        <v>17</v>
      </c>
      <c r="B1472" t="s">
        <v>5</v>
      </c>
      <c r="C1472" s="3">
        <v>44621</v>
      </c>
      <c r="D1472">
        <v>561.57000000000005</v>
      </c>
    </row>
    <row r="1473" spans="1:4" x14ac:dyDescent="0.25">
      <c r="A1473" t="s">
        <v>17</v>
      </c>
      <c r="B1473" t="s">
        <v>5</v>
      </c>
      <c r="C1473" s="3">
        <v>44652</v>
      </c>
      <c r="D1473">
        <v>582.74</v>
      </c>
    </row>
    <row r="1474" spans="1:4" x14ac:dyDescent="0.25">
      <c r="A1474" t="s">
        <v>17</v>
      </c>
      <c r="B1474" t="s">
        <v>5</v>
      </c>
      <c r="C1474" s="3">
        <v>44682</v>
      </c>
      <c r="D1474">
        <v>595.89</v>
      </c>
    </row>
    <row r="1475" spans="1:4" x14ac:dyDescent="0.25">
      <c r="A1475" t="s">
        <v>17</v>
      </c>
      <c r="B1475" t="s">
        <v>5</v>
      </c>
      <c r="C1475" s="3">
        <v>44713</v>
      </c>
      <c r="D1475">
        <v>612.34</v>
      </c>
    </row>
    <row r="1476" spans="1:4" x14ac:dyDescent="0.25">
      <c r="A1476" t="s">
        <v>17</v>
      </c>
      <c r="B1476" t="s">
        <v>5</v>
      </c>
      <c r="C1476" s="3">
        <v>44743</v>
      </c>
      <c r="D1476">
        <v>616.63</v>
      </c>
    </row>
    <row r="1477" spans="1:4" x14ac:dyDescent="0.25">
      <c r="A1477" t="s">
        <v>17</v>
      </c>
      <c r="B1477" t="s">
        <v>5</v>
      </c>
      <c r="C1477" s="3">
        <v>44774</v>
      </c>
      <c r="D1477">
        <v>598.14</v>
      </c>
    </row>
    <row r="1478" spans="1:4" x14ac:dyDescent="0.25">
      <c r="A1478" t="s">
        <v>17</v>
      </c>
      <c r="B1478" t="s">
        <v>5</v>
      </c>
      <c r="C1478" s="3">
        <v>44805</v>
      </c>
      <c r="D1478">
        <v>580.01</v>
      </c>
    </row>
    <row r="1479" spans="1:4" x14ac:dyDescent="0.25">
      <c r="A1479" t="s">
        <v>17</v>
      </c>
      <c r="B1479" t="s">
        <v>5</v>
      </c>
      <c r="C1479" s="3">
        <v>44835</v>
      </c>
      <c r="D1479">
        <v>558.4</v>
      </c>
    </row>
    <row r="1480" spans="1:4" x14ac:dyDescent="0.25">
      <c r="A1480" t="s">
        <v>17</v>
      </c>
      <c r="B1480" t="s">
        <v>5</v>
      </c>
      <c r="C1480" s="3">
        <v>44866</v>
      </c>
      <c r="D1480">
        <v>551.29999999999995</v>
      </c>
    </row>
    <row r="1481" spans="1:4" x14ac:dyDescent="0.25">
      <c r="A1481" t="s">
        <v>17</v>
      </c>
      <c r="B1481" t="s">
        <v>5</v>
      </c>
      <c r="C1481" s="3">
        <v>44896</v>
      </c>
      <c r="D1481">
        <v>565.09</v>
      </c>
    </row>
    <row r="1482" spans="1:4" x14ac:dyDescent="0.25">
      <c r="A1482" t="s">
        <v>17</v>
      </c>
      <c r="B1482" t="s">
        <v>5</v>
      </c>
      <c r="C1482" s="3">
        <v>44927</v>
      </c>
      <c r="D1482">
        <v>608.1</v>
      </c>
    </row>
    <row r="1483" spans="1:4" x14ac:dyDescent="0.25">
      <c r="A1483" t="s">
        <v>17</v>
      </c>
      <c r="B1483" t="s">
        <v>5</v>
      </c>
      <c r="C1483" s="3">
        <v>44958</v>
      </c>
      <c r="D1483">
        <v>606.92999999999995</v>
      </c>
    </row>
    <row r="1484" spans="1:4" x14ac:dyDescent="0.25">
      <c r="A1484" t="s">
        <v>17</v>
      </c>
      <c r="B1484" t="s">
        <v>5</v>
      </c>
      <c r="C1484" s="3">
        <v>44986</v>
      </c>
      <c r="D1484">
        <v>578.73</v>
      </c>
    </row>
    <row r="1485" spans="1:4" x14ac:dyDescent="0.25">
      <c r="A1485" t="s">
        <v>17</v>
      </c>
      <c r="B1485" t="s">
        <v>5</v>
      </c>
      <c r="C1485" s="3">
        <v>45017</v>
      </c>
      <c r="D1485">
        <v>582.26</v>
      </c>
    </row>
    <row r="1486" spans="1:4" x14ac:dyDescent="0.25">
      <c r="A1486" t="s">
        <v>17</v>
      </c>
      <c r="B1486" t="s">
        <v>5</v>
      </c>
      <c r="C1486" s="3">
        <v>45047</v>
      </c>
      <c r="D1486">
        <v>587.13</v>
      </c>
    </row>
    <row r="1487" spans="1:4" x14ac:dyDescent="0.25">
      <c r="A1487" t="s">
        <v>17</v>
      </c>
      <c r="B1487" t="s">
        <v>5</v>
      </c>
      <c r="C1487" s="3">
        <v>45078</v>
      </c>
      <c r="D1487">
        <v>621.14</v>
      </c>
    </row>
    <row r="1488" spans="1:4" x14ac:dyDescent="0.25">
      <c r="A1488" t="s">
        <v>17</v>
      </c>
      <c r="B1488" t="s">
        <v>5</v>
      </c>
      <c r="C1488" s="3">
        <v>45108</v>
      </c>
      <c r="D1488">
        <v>592.71</v>
      </c>
    </row>
    <row r="1489" spans="1:4" x14ac:dyDescent="0.25">
      <c r="A1489" t="s">
        <v>17</v>
      </c>
      <c r="B1489" t="s">
        <v>5</v>
      </c>
      <c r="C1489" s="3">
        <v>45139</v>
      </c>
      <c r="D1489">
        <v>580.72</v>
      </c>
    </row>
    <row r="1490" spans="1:4" x14ac:dyDescent="0.25">
      <c r="A1490" t="s">
        <v>17</v>
      </c>
      <c r="B1490" t="s">
        <v>5</v>
      </c>
      <c r="C1490" s="3">
        <v>45170</v>
      </c>
      <c r="D1490">
        <v>570.20000000000005</v>
      </c>
    </row>
    <row r="1491" spans="1:4" x14ac:dyDescent="0.25">
      <c r="A1491" t="s">
        <v>17</v>
      </c>
      <c r="B1491" t="s">
        <v>5</v>
      </c>
      <c r="C1491" s="3">
        <v>45200</v>
      </c>
      <c r="D1491">
        <v>557.1</v>
      </c>
    </row>
    <row r="1492" spans="1:4" x14ac:dyDescent="0.25">
      <c r="A1492" t="s">
        <v>17</v>
      </c>
      <c r="B1492" t="s">
        <v>5</v>
      </c>
      <c r="C1492" s="3">
        <v>45231</v>
      </c>
      <c r="D1492">
        <v>551.04</v>
      </c>
    </row>
    <row r="1493" spans="1:4" x14ac:dyDescent="0.25">
      <c r="A1493" t="s">
        <v>17</v>
      </c>
      <c r="B1493" t="s">
        <v>5</v>
      </c>
      <c r="C1493" s="3">
        <v>45261</v>
      </c>
      <c r="D1493">
        <v>538.08000000000004</v>
      </c>
    </row>
    <row r="1494" spans="1:4" x14ac:dyDescent="0.25">
      <c r="A1494" t="s">
        <v>17</v>
      </c>
      <c r="B1494" t="s">
        <v>5</v>
      </c>
      <c r="C1494" s="3">
        <v>45292</v>
      </c>
      <c r="D1494">
        <v>550.51</v>
      </c>
    </row>
    <row r="1495" spans="1:4" x14ac:dyDescent="0.25">
      <c r="A1495" t="s">
        <v>17</v>
      </c>
      <c r="B1495" t="s">
        <v>5</v>
      </c>
      <c r="C1495" s="3">
        <v>45323</v>
      </c>
      <c r="D1495">
        <v>559.67999999999995</v>
      </c>
    </row>
    <row r="1496" spans="1:4" x14ac:dyDescent="0.25">
      <c r="A1496" t="s">
        <v>17</v>
      </c>
      <c r="B1496" t="s">
        <v>5</v>
      </c>
      <c r="C1496" s="3">
        <v>45352</v>
      </c>
      <c r="D1496">
        <v>592.19000000000005</v>
      </c>
    </row>
    <row r="1497" spans="1:4" x14ac:dyDescent="0.25">
      <c r="A1497" t="s">
        <v>17</v>
      </c>
      <c r="B1497" t="s">
        <v>5</v>
      </c>
      <c r="C1497" s="3">
        <v>45383</v>
      </c>
      <c r="D1497">
        <v>617.28</v>
      </c>
    </row>
    <row r="1498" spans="1:4" x14ac:dyDescent="0.25">
      <c r="A1498" t="s">
        <v>17</v>
      </c>
      <c r="B1498" t="s">
        <v>5</v>
      </c>
      <c r="C1498" s="3">
        <v>45413</v>
      </c>
      <c r="D1498">
        <v>618.47</v>
      </c>
    </row>
    <row r="1499" spans="1:4" x14ac:dyDescent="0.25">
      <c r="A1499" t="s">
        <v>17</v>
      </c>
      <c r="B1499" t="s">
        <v>5</v>
      </c>
      <c r="C1499" s="3">
        <v>45444</v>
      </c>
      <c r="D1499">
        <v>582.9</v>
      </c>
    </row>
    <row r="1500" spans="1:4" x14ac:dyDescent="0.25">
      <c r="A1500" t="s">
        <v>17</v>
      </c>
      <c r="B1500" t="s">
        <v>5</v>
      </c>
      <c r="C1500" s="3">
        <v>45474</v>
      </c>
      <c r="D1500">
        <v>548.42999999999995</v>
      </c>
    </row>
    <row r="1501" spans="1:4" x14ac:dyDescent="0.25">
      <c r="A1501" t="s">
        <v>17</v>
      </c>
      <c r="B1501" t="s">
        <v>5</v>
      </c>
      <c r="C1501" s="3">
        <v>45505</v>
      </c>
      <c r="D1501">
        <v>533.12</v>
      </c>
    </row>
    <row r="1502" spans="1:4" x14ac:dyDescent="0.25">
      <c r="A1502" t="s">
        <v>17</v>
      </c>
      <c r="B1502" t="s">
        <v>5</v>
      </c>
      <c r="C1502" s="3">
        <v>45536</v>
      </c>
      <c r="D1502">
        <v>535.32000000000005</v>
      </c>
    </row>
    <row r="1503" spans="1:4" x14ac:dyDescent="0.25">
      <c r="A1503" t="s">
        <v>17</v>
      </c>
      <c r="B1503" t="s">
        <v>5</v>
      </c>
      <c r="C1503" s="3">
        <v>45566</v>
      </c>
      <c r="D1503">
        <v>548.19000000000005</v>
      </c>
    </row>
    <row r="1504" spans="1:4" x14ac:dyDescent="0.25">
      <c r="A1504" t="s">
        <v>17</v>
      </c>
      <c r="B1504" t="s">
        <v>5</v>
      </c>
      <c r="C1504" s="3">
        <v>45597</v>
      </c>
      <c r="D1504">
        <v>578.16</v>
      </c>
    </row>
    <row r="1505" spans="1:4" x14ac:dyDescent="0.25">
      <c r="A1505" t="s">
        <v>17</v>
      </c>
      <c r="B1505" t="s">
        <v>5</v>
      </c>
      <c r="C1505" s="3">
        <v>45627</v>
      </c>
      <c r="D1505">
        <v>588.35</v>
      </c>
    </row>
    <row r="1506" spans="1:4" x14ac:dyDescent="0.25">
      <c r="A1506" t="s">
        <v>17</v>
      </c>
      <c r="B1506" t="s">
        <v>5</v>
      </c>
      <c r="C1506" s="3">
        <v>45658</v>
      </c>
      <c r="D1506">
        <v>598.72</v>
      </c>
    </row>
    <row r="1507" spans="1:4" x14ac:dyDescent="0.25">
      <c r="A1507" t="s">
        <v>17</v>
      </c>
      <c r="B1507" t="s">
        <v>5</v>
      </c>
      <c r="C1507" s="3">
        <v>45689</v>
      </c>
      <c r="D1507">
        <v>625.33000000000004</v>
      </c>
    </row>
    <row r="1508" spans="1:4" x14ac:dyDescent="0.25">
      <c r="A1508" t="s">
        <v>17</v>
      </c>
      <c r="B1508" t="s">
        <v>5</v>
      </c>
      <c r="C1508" s="3">
        <v>45717</v>
      </c>
      <c r="D1508">
        <v>627.14</v>
      </c>
    </row>
    <row r="1509" spans="1:4" x14ac:dyDescent="0.25">
      <c r="A1509" t="s">
        <v>17</v>
      </c>
      <c r="B1509" t="s">
        <v>5</v>
      </c>
      <c r="C1509" s="3">
        <v>45748</v>
      </c>
      <c r="D1509">
        <v>652.71</v>
      </c>
    </row>
    <row r="1510" spans="1:4" x14ac:dyDescent="0.25">
      <c r="A1510" t="s">
        <v>17</v>
      </c>
      <c r="B1510" t="s">
        <v>5</v>
      </c>
      <c r="C1510" s="3">
        <v>45778</v>
      </c>
      <c r="D1510">
        <v>636</v>
      </c>
    </row>
    <row r="1511" spans="1:4" x14ac:dyDescent="0.25">
      <c r="A1511" t="s">
        <v>17</v>
      </c>
      <c r="B1511" t="s">
        <v>5</v>
      </c>
      <c r="C1511" s="3">
        <v>45809</v>
      </c>
      <c r="D1511">
        <v>637.62</v>
      </c>
    </row>
    <row r="1512" spans="1:4" x14ac:dyDescent="0.25">
      <c r="A1512" t="s">
        <v>18</v>
      </c>
      <c r="B1512" t="s">
        <v>5</v>
      </c>
      <c r="C1512" s="3">
        <v>42005</v>
      </c>
      <c r="D1512">
        <v>353.51</v>
      </c>
    </row>
    <row r="1513" spans="1:4" x14ac:dyDescent="0.25">
      <c r="A1513" t="s">
        <v>18</v>
      </c>
      <c r="B1513" t="s">
        <v>5</v>
      </c>
      <c r="C1513" s="3">
        <v>42036</v>
      </c>
      <c r="D1513">
        <v>357.27</v>
      </c>
    </row>
    <row r="1514" spans="1:4" x14ac:dyDescent="0.25">
      <c r="A1514" t="s">
        <v>18</v>
      </c>
      <c r="B1514" t="s">
        <v>5</v>
      </c>
      <c r="C1514" s="3">
        <v>42064</v>
      </c>
      <c r="D1514">
        <v>358.68</v>
      </c>
    </row>
    <row r="1515" spans="1:4" x14ac:dyDescent="0.25">
      <c r="A1515" t="s">
        <v>18</v>
      </c>
      <c r="B1515" t="s">
        <v>5</v>
      </c>
      <c r="C1515" s="3">
        <v>42095</v>
      </c>
      <c r="D1515">
        <v>374.85</v>
      </c>
    </row>
    <row r="1516" spans="1:4" x14ac:dyDescent="0.25">
      <c r="A1516" t="s">
        <v>18</v>
      </c>
      <c r="B1516" t="s">
        <v>5</v>
      </c>
      <c r="C1516" s="3">
        <v>42125</v>
      </c>
      <c r="D1516">
        <v>395.23</v>
      </c>
    </row>
    <row r="1517" spans="1:4" x14ac:dyDescent="0.25">
      <c r="A1517" t="s">
        <v>18</v>
      </c>
      <c r="B1517" t="s">
        <v>5</v>
      </c>
      <c r="C1517" s="3">
        <v>42156</v>
      </c>
      <c r="D1517">
        <v>368.71</v>
      </c>
    </row>
    <row r="1518" spans="1:4" x14ac:dyDescent="0.25">
      <c r="A1518" t="s">
        <v>18</v>
      </c>
      <c r="B1518" t="s">
        <v>5</v>
      </c>
      <c r="C1518" s="3">
        <v>42186</v>
      </c>
      <c r="D1518">
        <v>372.24</v>
      </c>
    </row>
    <row r="1519" spans="1:4" x14ac:dyDescent="0.25">
      <c r="A1519" t="s">
        <v>18</v>
      </c>
      <c r="B1519" t="s">
        <v>5</v>
      </c>
      <c r="C1519" s="3">
        <v>42217</v>
      </c>
      <c r="D1519">
        <v>361.93</v>
      </c>
    </row>
    <row r="1520" spans="1:4" x14ac:dyDescent="0.25">
      <c r="A1520" t="s">
        <v>18</v>
      </c>
      <c r="B1520" t="s">
        <v>5</v>
      </c>
      <c r="C1520" s="3">
        <v>42248</v>
      </c>
      <c r="D1520">
        <v>362.9</v>
      </c>
    </row>
    <row r="1521" spans="1:4" x14ac:dyDescent="0.25">
      <c r="A1521" t="s">
        <v>18</v>
      </c>
      <c r="B1521" t="s">
        <v>5</v>
      </c>
      <c r="C1521" s="3">
        <v>42278</v>
      </c>
      <c r="D1521">
        <v>359.66</v>
      </c>
    </row>
    <row r="1522" spans="1:4" x14ac:dyDescent="0.25">
      <c r="A1522" t="s">
        <v>18</v>
      </c>
      <c r="B1522" t="s">
        <v>5</v>
      </c>
      <c r="C1522" s="3">
        <v>42309</v>
      </c>
      <c r="D1522">
        <v>385.8</v>
      </c>
    </row>
    <row r="1523" spans="1:4" x14ac:dyDescent="0.25">
      <c r="A1523" t="s">
        <v>18</v>
      </c>
      <c r="B1523" t="s">
        <v>5</v>
      </c>
      <c r="C1523" s="3">
        <v>42339</v>
      </c>
      <c r="D1523">
        <v>394.21</v>
      </c>
    </row>
    <row r="1524" spans="1:4" x14ac:dyDescent="0.25">
      <c r="A1524" t="s">
        <v>18</v>
      </c>
      <c r="B1524" t="s">
        <v>5</v>
      </c>
      <c r="C1524" s="3">
        <v>42370</v>
      </c>
      <c r="D1524">
        <v>448.06</v>
      </c>
    </row>
    <row r="1525" spans="1:4" x14ac:dyDescent="0.25">
      <c r="A1525" t="s">
        <v>18</v>
      </c>
      <c r="B1525" t="s">
        <v>5</v>
      </c>
      <c r="C1525" s="3">
        <v>42401</v>
      </c>
      <c r="D1525">
        <v>430.56</v>
      </c>
    </row>
    <row r="1526" spans="1:4" x14ac:dyDescent="0.25">
      <c r="A1526" t="s">
        <v>18</v>
      </c>
      <c r="B1526" t="s">
        <v>5</v>
      </c>
      <c r="C1526" s="3">
        <v>42430</v>
      </c>
      <c r="D1526">
        <v>440.79</v>
      </c>
    </row>
    <row r="1527" spans="1:4" x14ac:dyDescent="0.25">
      <c r="A1527" t="s">
        <v>18</v>
      </c>
      <c r="B1527" t="s">
        <v>5</v>
      </c>
      <c r="C1527" s="3">
        <v>42461</v>
      </c>
      <c r="D1527">
        <v>433.96</v>
      </c>
    </row>
    <row r="1528" spans="1:4" x14ac:dyDescent="0.25">
      <c r="A1528" t="s">
        <v>18</v>
      </c>
      <c r="B1528" t="s">
        <v>5</v>
      </c>
      <c r="C1528" s="3">
        <v>42491</v>
      </c>
      <c r="D1528">
        <v>436.02</v>
      </c>
    </row>
    <row r="1529" spans="1:4" x14ac:dyDescent="0.25">
      <c r="A1529" t="s">
        <v>18</v>
      </c>
      <c r="B1529" t="s">
        <v>5</v>
      </c>
      <c r="C1529" s="3">
        <v>42522</v>
      </c>
      <c r="D1529">
        <v>439.33</v>
      </c>
    </row>
    <row r="1530" spans="1:4" x14ac:dyDescent="0.25">
      <c r="A1530" t="s">
        <v>18</v>
      </c>
      <c r="B1530" t="s">
        <v>5</v>
      </c>
      <c r="C1530" s="3">
        <v>42552</v>
      </c>
      <c r="D1530">
        <v>448.28</v>
      </c>
    </row>
    <row r="1531" spans="1:4" x14ac:dyDescent="0.25">
      <c r="A1531" t="s">
        <v>18</v>
      </c>
      <c r="B1531" t="s">
        <v>5</v>
      </c>
      <c r="C1531" s="3">
        <v>42583</v>
      </c>
      <c r="D1531">
        <v>455.45</v>
      </c>
    </row>
    <row r="1532" spans="1:4" x14ac:dyDescent="0.25">
      <c r="A1532" t="s">
        <v>18</v>
      </c>
      <c r="B1532" t="s">
        <v>5</v>
      </c>
      <c r="C1532" s="3">
        <v>42614</v>
      </c>
      <c r="D1532">
        <v>451.58</v>
      </c>
    </row>
    <row r="1533" spans="1:4" x14ac:dyDescent="0.25">
      <c r="A1533" t="s">
        <v>18</v>
      </c>
      <c r="B1533" t="s">
        <v>5</v>
      </c>
      <c r="C1533" s="3">
        <v>42644</v>
      </c>
      <c r="D1533">
        <v>456.44</v>
      </c>
    </row>
    <row r="1534" spans="1:4" x14ac:dyDescent="0.25">
      <c r="A1534" t="s">
        <v>18</v>
      </c>
      <c r="B1534" t="s">
        <v>5</v>
      </c>
      <c r="C1534" s="3">
        <v>42675</v>
      </c>
      <c r="D1534">
        <v>448.73</v>
      </c>
    </row>
    <row r="1535" spans="1:4" x14ac:dyDescent="0.25">
      <c r="A1535" t="s">
        <v>18</v>
      </c>
      <c r="B1535" t="s">
        <v>5</v>
      </c>
      <c r="C1535" s="3">
        <v>42705</v>
      </c>
      <c r="D1535">
        <v>443.75</v>
      </c>
    </row>
    <row r="1536" spans="1:4" x14ac:dyDescent="0.25">
      <c r="A1536" t="s">
        <v>18</v>
      </c>
      <c r="B1536" t="s">
        <v>5</v>
      </c>
      <c r="C1536" s="3">
        <v>42736</v>
      </c>
      <c r="D1536">
        <v>440.16</v>
      </c>
    </row>
    <row r="1537" spans="1:4" x14ac:dyDescent="0.25">
      <c r="A1537" t="s">
        <v>18</v>
      </c>
      <c r="B1537" t="s">
        <v>5</v>
      </c>
      <c r="C1537" s="3">
        <v>42767</v>
      </c>
      <c r="D1537">
        <v>424.55</v>
      </c>
    </row>
    <row r="1538" spans="1:4" x14ac:dyDescent="0.25">
      <c r="A1538" t="s">
        <v>18</v>
      </c>
      <c r="B1538" t="s">
        <v>5</v>
      </c>
      <c r="C1538" s="3">
        <v>42795</v>
      </c>
      <c r="D1538">
        <v>431.31</v>
      </c>
    </row>
    <row r="1539" spans="1:4" x14ac:dyDescent="0.25">
      <c r="A1539" t="s">
        <v>18</v>
      </c>
      <c r="B1539" t="s">
        <v>5</v>
      </c>
      <c r="C1539" s="3">
        <v>42826</v>
      </c>
      <c r="D1539">
        <v>448.51</v>
      </c>
    </row>
    <row r="1540" spans="1:4" x14ac:dyDescent="0.25">
      <c r="A1540" t="s">
        <v>18</v>
      </c>
      <c r="B1540" t="s">
        <v>5</v>
      </c>
      <c r="C1540" s="3">
        <v>42856</v>
      </c>
      <c r="D1540">
        <v>442.56</v>
      </c>
    </row>
    <row r="1541" spans="1:4" x14ac:dyDescent="0.25">
      <c r="A1541" t="s">
        <v>18</v>
      </c>
      <c r="B1541" t="s">
        <v>5</v>
      </c>
      <c r="C1541" s="3">
        <v>42887</v>
      </c>
      <c r="D1541">
        <v>420.35</v>
      </c>
    </row>
    <row r="1542" spans="1:4" x14ac:dyDescent="0.25">
      <c r="A1542" t="s">
        <v>18</v>
      </c>
      <c r="B1542" t="s">
        <v>5</v>
      </c>
      <c r="C1542" s="3">
        <v>42917</v>
      </c>
      <c r="D1542">
        <v>425.62</v>
      </c>
    </row>
    <row r="1543" spans="1:4" x14ac:dyDescent="0.25">
      <c r="A1543" t="s">
        <v>18</v>
      </c>
      <c r="B1543" t="s">
        <v>5</v>
      </c>
      <c r="C1543" s="3">
        <v>42948</v>
      </c>
      <c r="D1543">
        <v>410.43</v>
      </c>
    </row>
    <row r="1544" spans="1:4" x14ac:dyDescent="0.25">
      <c r="A1544" t="s">
        <v>18</v>
      </c>
      <c r="B1544" t="s">
        <v>5</v>
      </c>
      <c r="C1544" s="3">
        <v>42979</v>
      </c>
      <c r="D1544">
        <v>410.27</v>
      </c>
    </row>
    <row r="1545" spans="1:4" x14ac:dyDescent="0.25">
      <c r="A1545" t="s">
        <v>18</v>
      </c>
      <c r="B1545" t="s">
        <v>5</v>
      </c>
      <c r="C1545" s="3">
        <v>43009</v>
      </c>
      <c r="D1545">
        <v>421.05</v>
      </c>
    </row>
    <row r="1546" spans="1:4" x14ac:dyDescent="0.25">
      <c r="A1546" t="s">
        <v>18</v>
      </c>
      <c r="B1546" t="s">
        <v>5</v>
      </c>
      <c r="C1546" s="3">
        <v>43040</v>
      </c>
      <c r="D1546">
        <v>407.37</v>
      </c>
    </row>
    <row r="1547" spans="1:4" x14ac:dyDescent="0.25">
      <c r="A1547" t="s">
        <v>18</v>
      </c>
      <c r="B1547" t="s">
        <v>5</v>
      </c>
      <c r="C1547" s="3">
        <v>43070</v>
      </c>
      <c r="D1547">
        <v>418.71</v>
      </c>
    </row>
    <row r="1548" spans="1:4" x14ac:dyDescent="0.25">
      <c r="A1548" t="s">
        <v>18</v>
      </c>
      <c r="B1548" t="s">
        <v>5</v>
      </c>
      <c r="C1548" s="3">
        <v>43101</v>
      </c>
      <c r="D1548">
        <v>443.81</v>
      </c>
    </row>
    <row r="1549" spans="1:4" x14ac:dyDescent="0.25">
      <c r="A1549" t="s">
        <v>18</v>
      </c>
      <c r="B1549" t="s">
        <v>5</v>
      </c>
      <c r="C1549" s="3">
        <v>43132</v>
      </c>
      <c r="D1549">
        <v>438.36</v>
      </c>
    </row>
    <row r="1550" spans="1:4" x14ac:dyDescent="0.25">
      <c r="A1550" t="s">
        <v>18</v>
      </c>
      <c r="B1550" t="s">
        <v>5</v>
      </c>
      <c r="C1550" s="3">
        <v>43160</v>
      </c>
      <c r="D1550">
        <v>441.19</v>
      </c>
    </row>
    <row r="1551" spans="1:4" x14ac:dyDescent="0.25">
      <c r="A1551" t="s">
        <v>18</v>
      </c>
      <c r="B1551" t="s">
        <v>5</v>
      </c>
      <c r="C1551" s="3">
        <v>43191</v>
      </c>
      <c r="D1551">
        <v>440.06</v>
      </c>
    </row>
    <row r="1552" spans="1:4" x14ac:dyDescent="0.25">
      <c r="A1552" t="s">
        <v>18</v>
      </c>
      <c r="B1552" t="s">
        <v>5</v>
      </c>
      <c r="C1552" s="3">
        <v>43221</v>
      </c>
      <c r="D1552">
        <v>446.03</v>
      </c>
    </row>
    <row r="1553" spans="1:4" x14ac:dyDescent="0.25">
      <c r="A1553" t="s">
        <v>18</v>
      </c>
      <c r="B1553" t="s">
        <v>5</v>
      </c>
      <c r="C1553" s="3">
        <v>43252</v>
      </c>
      <c r="D1553">
        <v>445.58</v>
      </c>
    </row>
    <row r="1554" spans="1:4" x14ac:dyDescent="0.25">
      <c r="A1554" t="s">
        <v>18</v>
      </c>
      <c r="B1554" t="s">
        <v>5</v>
      </c>
      <c r="C1554" s="3">
        <v>43282</v>
      </c>
      <c r="D1554">
        <v>421.89</v>
      </c>
    </row>
    <row r="1555" spans="1:4" x14ac:dyDescent="0.25">
      <c r="A1555" t="s">
        <v>18</v>
      </c>
      <c r="B1555" t="s">
        <v>5</v>
      </c>
      <c r="C1555" s="3">
        <v>43313</v>
      </c>
      <c r="D1555">
        <v>417.05</v>
      </c>
    </row>
    <row r="1556" spans="1:4" x14ac:dyDescent="0.25">
      <c r="A1556" t="s">
        <v>18</v>
      </c>
      <c r="B1556" t="s">
        <v>5</v>
      </c>
      <c r="C1556" s="3">
        <v>43344</v>
      </c>
      <c r="D1556">
        <v>418.48</v>
      </c>
    </row>
    <row r="1557" spans="1:4" x14ac:dyDescent="0.25">
      <c r="A1557" t="s">
        <v>18</v>
      </c>
      <c r="B1557" t="s">
        <v>5</v>
      </c>
      <c r="C1557" s="3">
        <v>43374</v>
      </c>
      <c r="D1557">
        <v>443.69</v>
      </c>
    </row>
    <row r="1558" spans="1:4" x14ac:dyDescent="0.25">
      <c r="A1558" t="s">
        <v>18</v>
      </c>
      <c r="B1558" t="s">
        <v>5</v>
      </c>
      <c r="C1558" s="3">
        <v>43405</v>
      </c>
      <c r="D1558">
        <v>460.24</v>
      </c>
    </row>
    <row r="1559" spans="1:4" x14ac:dyDescent="0.25">
      <c r="A1559" t="s">
        <v>18</v>
      </c>
      <c r="B1559" t="s">
        <v>5</v>
      </c>
      <c r="C1559" s="3">
        <v>43435</v>
      </c>
      <c r="D1559">
        <v>466.75</v>
      </c>
    </row>
    <row r="1560" spans="1:4" x14ac:dyDescent="0.25">
      <c r="A1560" t="s">
        <v>18</v>
      </c>
      <c r="B1560" t="s">
        <v>5</v>
      </c>
      <c r="C1560" s="3">
        <v>43466</v>
      </c>
      <c r="D1560">
        <v>460.46</v>
      </c>
    </row>
    <row r="1561" spans="1:4" x14ac:dyDescent="0.25">
      <c r="A1561" t="s">
        <v>18</v>
      </c>
      <c r="B1561" t="s">
        <v>5</v>
      </c>
      <c r="C1561" s="3">
        <v>43497</v>
      </c>
      <c r="D1561">
        <v>464.47</v>
      </c>
    </row>
    <row r="1562" spans="1:4" x14ac:dyDescent="0.25">
      <c r="A1562" t="s">
        <v>18</v>
      </c>
      <c r="B1562" t="s">
        <v>5</v>
      </c>
      <c r="C1562" s="3">
        <v>43525</v>
      </c>
      <c r="D1562">
        <v>496.33</v>
      </c>
    </row>
    <row r="1563" spans="1:4" x14ac:dyDescent="0.25">
      <c r="A1563" t="s">
        <v>18</v>
      </c>
      <c r="B1563" t="s">
        <v>5</v>
      </c>
      <c r="C1563" s="3">
        <v>43556</v>
      </c>
      <c r="D1563">
        <v>515.58000000000004</v>
      </c>
    </row>
    <row r="1564" spans="1:4" x14ac:dyDescent="0.25">
      <c r="A1564" t="s">
        <v>18</v>
      </c>
      <c r="B1564" t="s">
        <v>5</v>
      </c>
      <c r="C1564" s="3">
        <v>43586</v>
      </c>
      <c r="D1564">
        <v>492.93</v>
      </c>
    </row>
    <row r="1565" spans="1:4" x14ac:dyDescent="0.25">
      <c r="A1565" t="s">
        <v>18</v>
      </c>
      <c r="B1565" t="s">
        <v>5</v>
      </c>
      <c r="C1565" s="3">
        <v>43617</v>
      </c>
      <c r="D1565">
        <v>498.67</v>
      </c>
    </row>
    <row r="1566" spans="1:4" x14ac:dyDescent="0.25">
      <c r="A1566" t="s">
        <v>18</v>
      </c>
      <c r="B1566" t="s">
        <v>5</v>
      </c>
      <c r="C1566" s="3">
        <v>43647</v>
      </c>
      <c r="D1566">
        <v>479.28</v>
      </c>
    </row>
    <row r="1567" spans="1:4" x14ac:dyDescent="0.25">
      <c r="A1567" t="s">
        <v>18</v>
      </c>
      <c r="B1567" t="s">
        <v>5</v>
      </c>
      <c r="C1567" s="3">
        <v>43678</v>
      </c>
      <c r="D1567">
        <v>462.24</v>
      </c>
    </row>
    <row r="1568" spans="1:4" x14ac:dyDescent="0.25">
      <c r="A1568" t="s">
        <v>18</v>
      </c>
      <c r="B1568" t="s">
        <v>5</v>
      </c>
      <c r="C1568" s="3">
        <v>43709</v>
      </c>
      <c r="D1568">
        <v>458.21</v>
      </c>
    </row>
    <row r="1569" spans="1:4" x14ac:dyDescent="0.25">
      <c r="A1569" t="s">
        <v>18</v>
      </c>
      <c r="B1569" t="s">
        <v>5</v>
      </c>
      <c r="C1569" s="3">
        <v>43739</v>
      </c>
      <c r="D1569">
        <v>462.57</v>
      </c>
    </row>
    <row r="1570" spans="1:4" x14ac:dyDescent="0.25">
      <c r="A1570" t="s">
        <v>18</v>
      </c>
      <c r="B1570" t="s">
        <v>5</v>
      </c>
      <c r="C1570" s="3">
        <v>43770</v>
      </c>
      <c r="D1570">
        <v>455.37</v>
      </c>
    </row>
    <row r="1571" spans="1:4" x14ac:dyDescent="0.25">
      <c r="A1571" t="s">
        <v>18</v>
      </c>
      <c r="B1571" t="s">
        <v>5</v>
      </c>
      <c r="C1571" s="3">
        <v>43800</v>
      </c>
      <c r="D1571">
        <v>516.91</v>
      </c>
    </row>
    <row r="1572" spans="1:4" x14ac:dyDescent="0.25">
      <c r="A1572" t="s">
        <v>18</v>
      </c>
      <c r="B1572" t="s">
        <v>5</v>
      </c>
      <c r="C1572" s="3">
        <v>43831</v>
      </c>
      <c r="D1572">
        <v>507.13</v>
      </c>
    </row>
    <row r="1573" spans="1:4" x14ac:dyDescent="0.25">
      <c r="A1573" t="s">
        <v>18</v>
      </c>
      <c r="B1573" t="s">
        <v>5</v>
      </c>
      <c r="C1573" s="3">
        <v>43862</v>
      </c>
      <c r="D1573">
        <v>505.55</v>
      </c>
    </row>
    <row r="1574" spans="1:4" x14ac:dyDescent="0.25">
      <c r="A1574" t="s">
        <v>18</v>
      </c>
      <c r="B1574" t="s">
        <v>5</v>
      </c>
      <c r="C1574" s="3">
        <v>43891</v>
      </c>
      <c r="D1574">
        <v>533.65</v>
      </c>
    </row>
    <row r="1575" spans="1:4" x14ac:dyDescent="0.25">
      <c r="A1575" t="s">
        <v>18</v>
      </c>
      <c r="B1575" t="s">
        <v>5</v>
      </c>
      <c r="C1575" s="3">
        <v>43922</v>
      </c>
      <c r="D1575">
        <v>544.34</v>
      </c>
    </row>
    <row r="1576" spans="1:4" x14ac:dyDescent="0.25">
      <c r="A1576" t="s">
        <v>18</v>
      </c>
      <c r="B1576" t="s">
        <v>5</v>
      </c>
      <c r="C1576" s="3">
        <v>43952</v>
      </c>
      <c r="D1576">
        <v>558.80999999999995</v>
      </c>
    </row>
    <row r="1577" spans="1:4" x14ac:dyDescent="0.25">
      <c r="A1577" t="s">
        <v>18</v>
      </c>
      <c r="B1577" t="s">
        <v>5</v>
      </c>
      <c r="C1577" s="3">
        <v>43983</v>
      </c>
      <c r="D1577">
        <v>512.84</v>
      </c>
    </row>
    <row r="1578" spans="1:4" x14ac:dyDescent="0.25">
      <c r="A1578" t="s">
        <v>18</v>
      </c>
      <c r="B1578" t="s">
        <v>5</v>
      </c>
      <c r="C1578" s="3">
        <v>44013</v>
      </c>
      <c r="D1578">
        <v>505.72</v>
      </c>
    </row>
    <row r="1579" spans="1:4" x14ac:dyDescent="0.25">
      <c r="A1579" t="s">
        <v>18</v>
      </c>
      <c r="B1579" t="s">
        <v>5</v>
      </c>
      <c r="C1579" s="3">
        <v>44044</v>
      </c>
      <c r="D1579">
        <v>529.76</v>
      </c>
    </row>
    <row r="1580" spans="1:4" x14ac:dyDescent="0.25">
      <c r="A1580" t="s">
        <v>18</v>
      </c>
      <c r="B1580" t="s">
        <v>5</v>
      </c>
      <c r="C1580" s="3">
        <v>44075</v>
      </c>
      <c r="D1580">
        <v>563.75</v>
      </c>
    </row>
    <row r="1581" spans="1:4" x14ac:dyDescent="0.25">
      <c r="A1581" t="s">
        <v>18</v>
      </c>
      <c r="B1581" t="s">
        <v>5</v>
      </c>
      <c r="C1581" s="3">
        <v>44105</v>
      </c>
      <c r="D1581">
        <v>592.25</v>
      </c>
    </row>
    <row r="1582" spans="1:4" x14ac:dyDescent="0.25">
      <c r="A1582" t="s">
        <v>18</v>
      </c>
      <c r="B1582" t="s">
        <v>5</v>
      </c>
      <c r="C1582" s="3">
        <v>44136</v>
      </c>
      <c r="D1582">
        <v>629.63</v>
      </c>
    </row>
    <row r="1583" spans="1:4" x14ac:dyDescent="0.25">
      <c r="A1583" t="s">
        <v>18</v>
      </c>
      <c r="B1583" t="s">
        <v>5</v>
      </c>
      <c r="C1583" s="3">
        <v>44166</v>
      </c>
      <c r="D1583">
        <v>621.09</v>
      </c>
    </row>
    <row r="1584" spans="1:4" x14ac:dyDescent="0.25">
      <c r="A1584" t="s">
        <v>18</v>
      </c>
      <c r="B1584" t="s">
        <v>5</v>
      </c>
      <c r="C1584" s="3">
        <v>44197</v>
      </c>
      <c r="D1584">
        <v>644</v>
      </c>
    </row>
    <row r="1585" spans="1:4" x14ac:dyDescent="0.25">
      <c r="A1585" t="s">
        <v>18</v>
      </c>
      <c r="B1585" t="s">
        <v>5</v>
      </c>
      <c r="C1585" s="3">
        <v>44228</v>
      </c>
      <c r="D1585">
        <v>629.82000000000005</v>
      </c>
    </row>
    <row r="1586" spans="1:4" x14ac:dyDescent="0.25">
      <c r="A1586" t="s">
        <v>18</v>
      </c>
      <c r="B1586" t="s">
        <v>5</v>
      </c>
      <c r="C1586" s="3">
        <v>44256</v>
      </c>
      <c r="D1586">
        <v>612.55999999999995</v>
      </c>
    </row>
    <row r="1587" spans="1:4" x14ac:dyDescent="0.25">
      <c r="A1587" t="s">
        <v>18</v>
      </c>
      <c r="B1587" t="s">
        <v>5</v>
      </c>
      <c r="C1587" s="3">
        <v>44287</v>
      </c>
      <c r="D1587">
        <v>622.04</v>
      </c>
    </row>
    <row r="1588" spans="1:4" x14ac:dyDescent="0.25">
      <c r="A1588" t="s">
        <v>18</v>
      </c>
      <c r="B1588" t="s">
        <v>5</v>
      </c>
      <c r="C1588" s="3">
        <v>44317</v>
      </c>
      <c r="D1588">
        <v>622.76</v>
      </c>
    </row>
    <row r="1589" spans="1:4" x14ac:dyDescent="0.25">
      <c r="A1589" t="s">
        <v>18</v>
      </c>
      <c r="B1589" t="s">
        <v>5</v>
      </c>
      <c r="C1589" s="3">
        <v>44348</v>
      </c>
      <c r="D1589">
        <v>619.24</v>
      </c>
    </row>
    <row r="1590" spans="1:4" x14ac:dyDescent="0.25">
      <c r="A1590" t="s">
        <v>18</v>
      </c>
      <c r="B1590" t="s">
        <v>5</v>
      </c>
      <c r="C1590" s="3">
        <v>44378</v>
      </c>
      <c r="D1590">
        <v>621.34</v>
      </c>
    </row>
    <row r="1591" spans="1:4" x14ac:dyDescent="0.25">
      <c r="A1591" t="s">
        <v>18</v>
      </c>
      <c r="B1591" t="s">
        <v>5</v>
      </c>
      <c r="C1591" s="3">
        <v>44409</v>
      </c>
      <c r="D1591">
        <v>634.17999999999995</v>
      </c>
    </row>
    <row r="1592" spans="1:4" x14ac:dyDescent="0.25">
      <c r="A1592" t="s">
        <v>18</v>
      </c>
      <c r="B1592" t="s">
        <v>5</v>
      </c>
      <c r="C1592" s="3">
        <v>44440</v>
      </c>
      <c r="D1592">
        <v>643.05999999999995</v>
      </c>
    </row>
    <row r="1593" spans="1:4" x14ac:dyDescent="0.25">
      <c r="A1593" t="s">
        <v>18</v>
      </c>
      <c r="B1593" t="s">
        <v>5</v>
      </c>
      <c r="C1593" s="3">
        <v>44470</v>
      </c>
      <c r="D1593">
        <v>673.85</v>
      </c>
    </row>
    <row r="1594" spans="1:4" x14ac:dyDescent="0.25">
      <c r="A1594" t="s">
        <v>18</v>
      </c>
      <c r="B1594" t="s">
        <v>5</v>
      </c>
      <c r="C1594" s="3">
        <v>44501</v>
      </c>
      <c r="D1594">
        <v>665.6</v>
      </c>
    </row>
    <row r="1595" spans="1:4" x14ac:dyDescent="0.25">
      <c r="A1595" t="s">
        <v>18</v>
      </c>
      <c r="B1595" t="s">
        <v>5</v>
      </c>
      <c r="C1595" s="3">
        <v>44531</v>
      </c>
      <c r="D1595">
        <v>666.26</v>
      </c>
    </row>
    <row r="1596" spans="1:4" x14ac:dyDescent="0.25">
      <c r="A1596" t="s">
        <v>18</v>
      </c>
      <c r="B1596" t="s">
        <v>5</v>
      </c>
      <c r="C1596" s="3">
        <v>44562</v>
      </c>
      <c r="D1596">
        <v>692.83</v>
      </c>
    </row>
    <row r="1597" spans="1:4" x14ac:dyDescent="0.25">
      <c r="A1597" t="s">
        <v>18</v>
      </c>
      <c r="B1597" t="s">
        <v>5</v>
      </c>
      <c r="C1597" s="3">
        <v>44593</v>
      </c>
      <c r="D1597">
        <v>697.37</v>
      </c>
    </row>
    <row r="1598" spans="1:4" x14ac:dyDescent="0.25">
      <c r="A1598" t="s">
        <v>18</v>
      </c>
      <c r="B1598" t="s">
        <v>5</v>
      </c>
      <c r="C1598" s="3">
        <v>44621</v>
      </c>
      <c r="D1598">
        <v>750.71</v>
      </c>
    </row>
    <row r="1599" spans="1:4" x14ac:dyDescent="0.25">
      <c r="A1599" t="s">
        <v>18</v>
      </c>
      <c r="B1599" t="s">
        <v>5</v>
      </c>
      <c r="C1599" s="3">
        <v>44652</v>
      </c>
      <c r="D1599">
        <v>768.42</v>
      </c>
    </row>
    <row r="1600" spans="1:4" x14ac:dyDescent="0.25">
      <c r="A1600" t="s">
        <v>18</v>
      </c>
      <c r="B1600" t="s">
        <v>5</v>
      </c>
      <c r="C1600" s="3">
        <v>44682</v>
      </c>
      <c r="D1600">
        <v>723.55</v>
      </c>
    </row>
    <row r="1601" spans="1:4" x14ac:dyDescent="0.25">
      <c r="A1601" t="s">
        <v>18</v>
      </c>
      <c r="B1601" t="s">
        <v>5</v>
      </c>
      <c r="C1601" s="3">
        <v>44713</v>
      </c>
      <c r="D1601">
        <v>733.14</v>
      </c>
    </row>
    <row r="1602" spans="1:4" x14ac:dyDescent="0.25">
      <c r="A1602" t="s">
        <v>18</v>
      </c>
      <c r="B1602" t="s">
        <v>5</v>
      </c>
      <c r="C1602" s="3">
        <v>44743</v>
      </c>
      <c r="D1602">
        <v>723.75</v>
      </c>
    </row>
    <row r="1603" spans="1:4" x14ac:dyDescent="0.25">
      <c r="A1603" t="s">
        <v>18</v>
      </c>
      <c r="B1603" t="s">
        <v>5</v>
      </c>
      <c r="C1603" s="3">
        <v>44774</v>
      </c>
      <c r="D1603">
        <v>717.82</v>
      </c>
    </row>
    <row r="1604" spans="1:4" x14ac:dyDescent="0.25">
      <c r="A1604" t="s">
        <v>18</v>
      </c>
      <c r="B1604" t="s">
        <v>5</v>
      </c>
      <c r="C1604" s="3">
        <v>44805</v>
      </c>
      <c r="D1604">
        <v>714.14</v>
      </c>
    </row>
    <row r="1605" spans="1:4" x14ac:dyDescent="0.25">
      <c r="A1605" t="s">
        <v>18</v>
      </c>
      <c r="B1605" t="s">
        <v>5</v>
      </c>
      <c r="C1605" s="3">
        <v>44835</v>
      </c>
      <c r="D1605">
        <v>736.28</v>
      </c>
    </row>
    <row r="1606" spans="1:4" x14ac:dyDescent="0.25">
      <c r="A1606" t="s">
        <v>18</v>
      </c>
      <c r="B1606" t="s">
        <v>5</v>
      </c>
      <c r="C1606" s="3">
        <v>44866</v>
      </c>
      <c r="D1606">
        <v>749.25</v>
      </c>
    </row>
    <row r="1607" spans="1:4" x14ac:dyDescent="0.25">
      <c r="A1607" t="s">
        <v>18</v>
      </c>
      <c r="B1607" t="s">
        <v>5</v>
      </c>
      <c r="C1607" s="3">
        <v>44896</v>
      </c>
      <c r="D1607">
        <v>752.74</v>
      </c>
    </row>
    <row r="1608" spans="1:4" x14ac:dyDescent="0.25">
      <c r="A1608" t="s">
        <v>18</v>
      </c>
      <c r="B1608" t="s">
        <v>5</v>
      </c>
      <c r="C1608" s="3">
        <v>44927</v>
      </c>
      <c r="D1608">
        <v>770.19</v>
      </c>
    </row>
    <row r="1609" spans="1:4" x14ac:dyDescent="0.25">
      <c r="A1609" t="s">
        <v>18</v>
      </c>
      <c r="B1609" t="s">
        <v>5</v>
      </c>
      <c r="C1609" s="3">
        <v>44958</v>
      </c>
      <c r="D1609">
        <v>745.96</v>
      </c>
    </row>
    <row r="1610" spans="1:4" x14ac:dyDescent="0.25">
      <c r="A1610" t="s">
        <v>18</v>
      </c>
      <c r="B1610" t="s">
        <v>5</v>
      </c>
      <c r="C1610" s="3">
        <v>44986</v>
      </c>
      <c r="D1610">
        <v>735.62</v>
      </c>
    </row>
    <row r="1611" spans="1:4" x14ac:dyDescent="0.25">
      <c r="A1611" t="s">
        <v>18</v>
      </c>
      <c r="B1611" t="s">
        <v>5</v>
      </c>
      <c r="C1611" s="3">
        <v>45017</v>
      </c>
      <c r="D1611">
        <v>750.77</v>
      </c>
    </row>
    <row r="1612" spans="1:4" x14ac:dyDescent="0.25">
      <c r="A1612" t="s">
        <v>18</v>
      </c>
      <c r="B1612" t="s">
        <v>5</v>
      </c>
      <c r="C1612" s="3">
        <v>45047</v>
      </c>
      <c r="D1612">
        <v>749.76</v>
      </c>
    </row>
    <row r="1613" spans="1:4" x14ac:dyDescent="0.25">
      <c r="A1613" t="s">
        <v>18</v>
      </c>
      <c r="B1613" t="s">
        <v>5</v>
      </c>
      <c r="C1613" s="3">
        <v>45078</v>
      </c>
      <c r="D1613">
        <v>741</v>
      </c>
    </row>
    <row r="1614" spans="1:4" x14ac:dyDescent="0.25">
      <c r="A1614" t="s">
        <v>18</v>
      </c>
      <c r="B1614" t="s">
        <v>5</v>
      </c>
      <c r="C1614" s="3">
        <v>45108</v>
      </c>
      <c r="D1614">
        <v>738.12</v>
      </c>
    </row>
    <row r="1615" spans="1:4" x14ac:dyDescent="0.25">
      <c r="A1615" t="s">
        <v>18</v>
      </c>
      <c r="B1615" t="s">
        <v>5</v>
      </c>
      <c r="C1615" s="3">
        <v>45139</v>
      </c>
      <c r="D1615">
        <v>722.78</v>
      </c>
    </row>
    <row r="1616" spans="1:4" x14ac:dyDescent="0.25">
      <c r="A1616" t="s">
        <v>18</v>
      </c>
      <c r="B1616" t="s">
        <v>5</v>
      </c>
      <c r="C1616" s="3">
        <v>45170</v>
      </c>
      <c r="D1616">
        <v>719.92</v>
      </c>
    </row>
    <row r="1617" spans="1:4" x14ac:dyDescent="0.25">
      <c r="A1617" t="s">
        <v>18</v>
      </c>
      <c r="B1617" t="s">
        <v>5</v>
      </c>
      <c r="C1617" s="3">
        <v>45200</v>
      </c>
      <c r="D1617">
        <v>721.17</v>
      </c>
    </row>
    <row r="1618" spans="1:4" x14ac:dyDescent="0.25">
      <c r="A1618" t="s">
        <v>18</v>
      </c>
      <c r="B1618" t="s">
        <v>5</v>
      </c>
      <c r="C1618" s="3">
        <v>45231</v>
      </c>
      <c r="D1618">
        <v>728.27</v>
      </c>
    </row>
    <row r="1619" spans="1:4" x14ac:dyDescent="0.25">
      <c r="A1619" t="s">
        <v>18</v>
      </c>
      <c r="B1619" t="s">
        <v>5</v>
      </c>
      <c r="C1619" s="3">
        <v>45261</v>
      </c>
      <c r="D1619">
        <v>738.61</v>
      </c>
    </row>
    <row r="1620" spans="1:4" x14ac:dyDescent="0.25">
      <c r="A1620" t="s">
        <v>18</v>
      </c>
      <c r="B1620" t="s">
        <v>5</v>
      </c>
      <c r="C1620" s="3">
        <v>45292</v>
      </c>
      <c r="D1620">
        <v>791.77</v>
      </c>
    </row>
    <row r="1621" spans="1:4" x14ac:dyDescent="0.25">
      <c r="A1621" t="s">
        <v>18</v>
      </c>
      <c r="B1621" t="s">
        <v>5</v>
      </c>
      <c r="C1621" s="3">
        <v>45323</v>
      </c>
      <c r="D1621">
        <v>832.8</v>
      </c>
    </row>
    <row r="1622" spans="1:4" x14ac:dyDescent="0.25">
      <c r="A1622" t="s">
        <v>18</v>
      </c>
      <c r="B1622" t="s">
        <v>5</v>
      </c>
      <c r="C1622" s="3">
        <v>45352</v>
      </c>
      <c r="D1622">
        <v>812.25</v>
      </c>
    </row>
    <row r="1623" spans="1:4" x14ac:dyDescent="0.25">
      <c r="A1623" t="s">
        <v>18</v>
      </c>
      <c r="B1623" t="s">
        <v>5</v>
      </c>
      <c r="C1623" s="3">
        <v>45383</v>
      </c>
      <c r="D1623">
        <v>801.15</v>
      </c>
    </row>
    <row r="1624" spans="1:4" x14ac:dyDescent="0.25">
      <c r="A1624" t="s">
        <v>18</v>
      </c>
      <c r="B1624" t="s">
        <v>5</v>
      </c>
      <c r="C1624" s="3">
        <v>45413</v>
      </c>
      <c r="D1624">
        <v>796.67</v>
      </c>
    </row>
    <row r="1625" spans="1:4" x14ac:dyDescent="0.25">
      <c r="A1625" t="s">
        <v>18</v>
      </c>
      <c r="B1625" t="s">
        <v>5</v>
      </c>
      <c r="C1625" s="3">
        <v>45444</v>
      </c>
      <c r="D1625">
        <v>814.38</v>
      </c>
    </row>
    <row r="1626" spans="1:4" x14ac:dyDescent="0.25">
      <c r="A1626" t="s">
        <v>18</v>
      </c>
      <c r="B1626" t="s">
        <v>5</v>
      </c>
      <c r="C1626" s="3">
        <v>45474</v>
      </c>
      <c r="D1626">
        <v>757.64</v>
      </c>
    </row>
    <row r="1627" spans="1:4" x14ac:dyDescent="0.25">
      <c r="A1627" t="s">
        <v>18</v>
      </c>
      <c r="B1627" t="s">
        <v>5</v>
      </c>
      <c r="C1627" s="3">
        <v>45505</v>
      </c>
      <c r="D1627">
        <v>745.64</v>
      </c>
    </row>
    <row r="1628" spans="1:4" x14ac:dyDescent="0.25">
      <c r="A1628" t="s">
        <v>18</v>
      </c>
      <c r="B1628" t="s">
        <v>5</v>
      </c>
      <c r="C1628" s="3">
        <v>45536</v>
      </c>
      <c r="D1628">
        <v>757.3</v>
      </c>
    </row>
    <row r="1629" spans="1:4" x14ac:dyDescent="0.25">
      <c r="A1629" t="s">
        <v>18</v>
      </c>
      <c r="B1629" t="s">
        <v>5</v>
      </c>
      <c r="C1629" s="3">
        <v>45566</v>
      </c>
      <c r="D1629">
        <v>773.7</v>
      </c>
    </row>
    <row r="1630" spans="1:4" x14ac:dyDescent="0.25">
      <c r="A1630" t="s">
        <v>18</v>
      </c>
      <c r="B1630" t="s">
        <v>5</v>
      </c>
      <c r="C1630" s="3">
        <v>45597</v>
      </c>
      <c r="D1630">
        <v>777.66</v>
      </c>
    </row>
    <row r="1631" spans="1:4" x14ac:dyDescent="0.25">
      <c r="A1631" t="s">
        <v>18</v>
      </c>
      <c r="B1631" t="s">
        <v>5</v>
      </c>
      <c r="C1631" s="3">
        <v>45627</v>
      </c>
      <c r="D1631">
        <v>779.84</v>
      </c>
    </row>
    <row r="1632" spans="1:4" x14ac:dyDescent="0.25">
      <c r="A1632" t="s">
        <v>18</v>
      </c>
      <c r="B1632" t="s">
        <v>5</v>
      </c>
      <c r="C1632" s="3">
        <v>45658</v>
      </c>
      <c r="D1632">
        <v>802.88</v>
      </c>
    </row>
    <row r="1633" spans="1:4" x14ac:dyDescent="0.25">
      <c r="A1633" t="s">
        <v>18</v>
      </c>
      <c r="B1633" t="s">
        <v>5</v>
      </c>
      <c r="C1633" s="3">
        <v>45689</v>
      </c>
      <c r="D1633">
        <v>814.9</v>
      </c>
    </row>
    <row r="1634" spans="1:4" x14ac:dyDescent="0.25">
      <c r="A1634" t="s">
        <v>18</v>
      </c>
      <c r="B1634" t="s">
        <v>5</v>
      </c>
      <c r="C1634" s="3">
        <v>45717</v>
      </c>
      <c r="D1634">
        <v>835.5</v>
      </c>
    </row>
    <row r="1635" spans="1:4" x14ac:dyDescent="0.25">
      <c r="A1635" t="s">
        <v>18</v>
      </c>
      <c r="B1635" t="s">
        <v>5</v>
      </c>
      <c r="C1635" s="3">
        <v>45748</v>
      </c>
      <c r="D1635">
        <v>849.7</v>
      </c>
    </row>
    <row r="1636" spans="1:4" x14ac:dyDescent="0.25">
      <c r="A1636" t="s">
        <v>18</v>
      </c>
      <c r="B1636" t="s">
        <v>5</v>
      </c>
      <c r="C1636" s="3">
        <v>45778</v>
      </c>
      <c r="D1636">
        <v>847.99</v>
      </c>
    </row>
    <row r="1637" spans="1:4" x14ac:dyDescent="0.25">
      <c r="A1637" t="s">
        <v>18</v>
      </c>
      <c r="B1637" t="s">
        <v>5</v>
      </c>
      <c r="C1637" s="3">
        <v>45809</v>
      </c>
      <c r="D1637">
        <v>843.27</v>
      </c>
    </row>
    <row r="1638" spans="1:4" x14ac:dyDescent="0.25">
      <c r="A1638" t="s">
        <v>19</v>
      </c>
      <c r="B1638" t="s">
        <v>5</v>
      </c>
      <c r="C1638" s="3">
        <v>42005</v>
      </c>
      <c r="D1638">
        <v>299.17</v>
      </c>
    </row>
    <row r="1639" spans="1:4" x14ac:dyDescent="0.25">
      <c r="A1639" t="s">
        <v>19</v>
      </c>
      <c r="B1639" t="s">
        <v>5</v>
      </c>
      <c r="C1639" s="3">
        <v>42036</v>
      </c>
      <c r="D1639">
        <v>311.64999999999998</v>
      </c>
    </row>
    <row r="1640" spans="1:4" x14ac:dyDescent="0.25">
      <c r="A1640" t="s">
        <v>19</v>
      </c>
      <c r="B1640" t="s">
        <v>5</v>
      </c>
      <c r="C1640" s="3">
        <v>42064</v>
      </c>
      <c r="D1640">
        <v>302.97000000000003</v>
      </c>
    </row>
    <row r="1641" spans="1:4" x14ac:dyDescent="0.25">
      <c r="A1641" t="s">
        <v>19</v>
      </c>
      <c r="B1641" t="s">
        <v>5</v>
      </c>
      <c r="C1641" s="3">
        <v>42095</v>
      </c>
      <c r="D1641">
        <v>314.44</v>
      </c>
    </row>
    <row r="1642" spans="1:4" x14ac:dyDescent="0.25">
      <c r="A1642" t="s">
        <v>19</v>
      </c>
      <c r="B1642" t="s">
        <v>5</v>
      </c>
      <c r="C1642" s="3">
        <v>42125</v>
      </c>
      <c r="D1642">
        <v>348.04</v>
      </c>
    </row>
    <row r="1643" spans="1:4" x14ac:dyDescent="0.25">
      <c r="A1643" t="s">
        <v>19</v>
      </c>
      <c r="B1643" t="s">
        <v>5</v>
      </c>
      <c r="C1643" s="3">
        <v>42156</v>
      </c>
      <c r="D1643">
        <v>320.02999999999997</v>
      </c>
    </row>
    <row r="1644" spans="1:4" x14ac:dyDescent="0.25">
      <c r="A1644" t="s">
        <v>19</v>
      </c>
      <c r="B1644" t="s">
        <v>5</v>
      </c>
      <c r="C1644" s="3">
        <v>42186</v>
      </c>
      <c r="D1644">
        <v>317.89999999999998</v>
      </c>
    </row>
    <row r="1645" spans="1:4" x14ac:dyDescent="0.25">
      <c r="A1645" t="s">
        <v>19</v>
      </c>
      <c r="B1645" t="s">
        <v>5</v>
      </c>
      <c r="C1645" s="3">
        <v>42217</v>
      </c>
      <c r="D1645">
        <v>305.11</v>
      </c>
    </row>
    <row r="1646" spans="1:4" x14ac:dyDescent="0.25">
      <c r="A1646" t="s">
        <v>19</v>
      </c>
      <c r="B1646" t="s">
        <v>5</v>
      </c>
      <c r="C1646" s="3">
        <v>42248</v>
      </c>
      <c r="D1646">
        <v>297.07</v>
      </c>
    </row>
    <row r="1647" spans="1:4" x14ac:dyDescent="0.25">
      <c r="A1647" t="s">
        <v>19</v>
      </c>
      <c r="B1647" t="s">
        <v>5</v>
      </c>
      <c r="C1647" s="3">
        <v>42278</v>
      </c>
      <c r="D1647">
        <v>297.83</v>
      </c>
    </row>
    <row r="1648" spans="1:4" x14ac:dyDescent="0.25">
      <c r="A1648" t="s">
        <v>19</v>
      </c>
      <c r="B1648" t="s">
        <v>5</v>
      </c>
      <c r="C1648" s="3">
        <v>42309</v>
      </c>
      <c r="D1648">
        <v>323.23</v>
      </c>
    </row>
    <row r="1649" spans="1:4" x14ac:dyDescent="0.25">
      <c r="A1649" t="s">
        <v>19</v>
      </c>
      <c r="B1649" t="s">
        <v>5</v>
      </c>
      <c r="C1649" s="3">
        <v>42339</v>
      </c>
      <c r="D1649">
        <v>331.2</v>
      </c>
    </row>
    <row r="1650" spans="1:4" x14ac:dyDescent="0.25">
      <c r="A1650" t="s">
        <v>19</v>
      </c>
      <c r="B1650" t="s">
        <v>5</v>
      </c>
      <c r="C1650" s="3">
        <v>42370</v>
      </c>
      <c r="D1650">
        <v>349.26</v>
      </c>
    </row>
    <row r="1651" spans="1:4" x14ac:dyDescent="0.25">
      <c r="A1651" t="s">
        <v>19</v>
      </c>
      <c r="B1651" t="s">
        <v>5</v>
      </c>
      <c r="C1651" s="3">
        <v>42401</v>
      </c>
      <c r="D1651">
        <v>337.84</v>
      </c>
    </row>
    <row r="1652" spans="1:4" x14ac:dyDescent="0.25">
      <c r="A1652" t="s">
        <v>19</v>
      </c>
      <c r="B1652" t="s">
        <v>5</v>
      </c>
      <c r="C1652" s="3">
        <v>42430</v>
      </c>
      <c r="D1652">
        <v>348.71</v>
      </c>
    </row>
    <row r="1653" spans="1:4" x14ac:dyDescent="0.25">
      <c r="A1653" t="s">
        <v>19</v>
      </c>
      <c r="B1653" t="s">
        <v>5</v>
      </c>
      <c r="C1653" s="3">
        <v>42461</v>
      </c>
      <c r="D1653">
        <v>344.29</v>
      </c>
    </row>
    <row r="1654" spans="1:4" x14ac:dyDescent="0.25">
      <c r="A1654" t="s">
        <v>19</v>
      </c>
      <c r="B1654" t="s">
        <v>5</v>
      </c>
      <c r="C1654" s="3">
        <v>42491</v>
      </c>
      <c r="D1654">
        <v>354.12</v>
      </c>
    </row>
    <row r="1655" spans="1:4" x14ac:dyDescent="0.25">
      <c r="A1655" t="s">
        <v>19</v>
      </c>
      <c r="B1655" t="s">
        <v>5</v>
      </c>
      <c r="C1655" s="3">
        <v>42522</v>
      </c>
      <c r="D1655">
        <v>365.77</v>
      </c>
    </row>
    <row r="1656" spans="1:4" x14ac:dyDescent="0.25">
      <c r="A1656" t="s">
        <v>19</v>
      </c>
      <c r="B1656" t="s">
        <v>5</v>
      </c>
      <c r="C1656" s="3">
        <v>42552</v>
      </c>
      <c r="D1656">
        <v>380.03</v>
      </c>
    </row>
    <row r="1657" spans="1:4" x14ac:dyDescent="0.25">
      <c r="A1657" t="s">
        <v>19</v>
      </c>
      <c r="B1657" t="s">
        <v>5</v>
      </c>
      <c r="C1657" s="3">
        <v>42583</v>
      </c>
      <c r="D1657">
        <v>376.45</v>
      </c>
    </row>
    <row r="1658" spans="1:4" x14ac:dyDescent="0.25">
      <c r="A1658" t="s">
        <v>19</v>
      </c>
      <c r="B1658" t="s">
        <v>5</v>
      </c>
      <c r="C1658" s="3">
        <v>42614</v>
      </c>
      <c r="D1658">
        <v>381.93</v>
      </c>
    </row>
    <row r="1659" spans="1:4" x14ac:dyDescent="0.25">
      <c r="A1659" t="s">
        <v>19</v>
      </c>
      <c r="B1659" t="s">
        <v>5</v>
      </c>
      <c r="C1659" s="3">
        <v>42644</v>
      </c>
      <c r="D1659">
        <v>375.6</v>
      </c>
    </row>
    <row r="1660" spans="1:4" x14ac:dyDescent="0.25">
      <c r="A1660" t="s">
        <v>19</v>
      </c>
      <c r="B1660" t="s">
        <v>5</v>
      </c>
      <c r="C1660" s="3">
        <v>42675</v>
      </c>
      <c r="D1660">
        <v>358.77</v>
      </c>
    </row>
    <row r="1661" spans="1:4" x14ac:dyDescent="0.25">
      <c r="A1661" t="s">
        <v>19</v>
      </c>
      <c r="B1661" t="s">
        <v>5</v>
      </c>
      <c r="C1661" s="3">
        <v>42705</v>
      </c>
      <c r="D1661">
        <v>355.15</v>
      </c>
    </row>
    <row r="1662" spans="1:4" x14ac:dyDescent="0.25">
      <c r="A1662" t="s">
        <v>19</v>
      </c>
      <c r="B1662" t="s">
        <v>5</v>
      </c>
      <c r="C1662" s="3">
        <v>42736</v>
      </c>
      <c r="D1662">
        <v>359.75</v>
      </c>
    </row>
    <row r="1663" spans="1:4" x14ac:dyDescent="0.25">
      <c r="A1663" t="s">
        <v>19</v>
      </c>
      <c r="B1663" t="s">
        <v>5</v>
      </c>
      <c r="C1663" s="3">
        <v>42767</v>
      </c>
      <c r="D1663">
        <v>349.4</v>
      </c>
    </row>
    <row r="1664" spans="1:4" x14ac:dyDescent="0.25">
      <c r="A1664" t="s">
        <v>19</v>
      </c>
      <c r="B1664" t="s">
        <v>5</v>
      </c>
      <c r="C1664" s="3">
        <v>42795</v>
      </c>
      <c r="D1664">
        <v>349.66</v>
      </c>
    </row>
    <row r="1665" spans="1:4" x14ac:dyDescent="0.25">
      <c r="A1665" t="s">
        <v>19</v>
      </c>
      <c r="B1665" t="s">
        <v>5</v>
      </c>
      <c r="C1665" s="3">
        <v>42826</v>
      </c>
      <c r="D1665">
        <v>366.63</v>
      </c>
    </row>
    <row r="1666" spans="1:4" x14ac:dyDescent="0.25">
      <c r="A1666" t="s">
        <v>19</v>
      </c>
      <c r="B1666" t="s">
        <v>5</v>
      </c>
      <c r="C1666" s="3">
        <v>42856</v>
      </c>
      <c r="D1666">
        <v>351.31</v>
      </c>
    </row>
    <row r="1667" spans="1:4" x14ac:dyDescent="0.25">
      <c r="A1667" t="s">
        <v>19</v>
      </c>
      <c r="B1667" t="s">
        <v>5</v>
      </c>
      <c r="C1667" s="3">
        <v>42887</v>
      </c>
      <c r="D1667">
        <v>350.22</v>
      </c>
    </row>
    <row r="1668" spans="1:4" x14ac:dyDescent="0.25">
      <c r="A1668" t="s">
        <v>19</v>
      </c>
      <c r="B1668" t="s">
        <v>5</v>
      </c>
      <c r="C1668" s="3">
        <v>42917</v>
      </c>
      <c r="D1668">
        <v>357.28</v>
      </c>
    </row>
    <row r="1669" spans="1:4" x14ac:dyDescent="0.25">
      <c r="A1669" t="s">
        <v>19</v>
      </c>
      <c r="B1669" t="s">
        <v>5</v>
      </c>
      <c r="C1669" s="3">
        <v>42948</v>
      </c>
      <c r="D1669">
        <v>332.1</v>
      </c>
    </row>
    <row r="1670" spans="1:4" x14ac:dyDescent="0.25">
      <c r="A1670" t="s">
        <v>19</v>
      </c>
      <c r="B1670" t="s">
        <v>5</v>
      </c>
      <c r="C1670" s="3">
        <v>42979</v>
      </c>
      <c r="D1670">
        <v>318.52</v>
      </c>
    </row>
    <row r="1671" spans="1:4" x14ac:dyDescent="0.25">
      <c r="A1671" t="s">
        <v>19</v>
      </c>
      <c r="B1671" t="s">
        <v>5</v>
      </c>
      <c r="C1671" s="3">
        <v>43009</v>
      </c>
      <c r="D1671">
        <v>318.31</v>
      </c>
    </row>
    <row r="1672" spans="1:4" x14ac:dyDescent="0.25">
      <c r="A1672" t="s">
        <v>19</v>
      </c>
      <c r="B1672" t="s">
        <v>5</v>
      </c>
      <c r="C1672" s="3">
        <v>43040</v>
      </c>
      <c r="D1672">
        <v>315.98</v>
      </c>
    </row>
    <row r="1673" spans="1:4" x14ac:dyDescent="0.25">
      <c r="A1673" t="s">
        <v>19</v>
      </c>
      <c r="B1673" t="s">
        <v>5</v>
      </c>
      <c r="C1673" s="3">
        <v>43070</v>
      </c>
      <c r="D1673">
        <v>316.64999999999998</v>
      </c>
    </row>
    <row r="1674" spans="1:4" x14ac:dyDescent="0.25">
      <c r="A1674" t="s">
        <v>19</v>
      </c>
      <c r="B1674" t="s">
        <v>5</v>
      </c>
      <c r="C1674" s="3">
        <v>43101</v>
      </c>
      <c r="D1674">
        <v>333.98</v>
      </c>
    </row>
    <row r="1675" spans="1:4" x14ac:dyDescent="0.25">
      <c r="A1675" t="s">
        <v>19</v>
      </c>
      <c r="B1675" t="s">
        <v>5</v>
      </c>
      <c r="C1675" s="3">
        <v>43132</v>
      </c>
      <c r="D1675">
        <v>336.59</v>
      </c>
    </row>
    <row r="1676" spans="1:4" x14ac:dyDescent="0.25">
      <c r="A1676" t="s">
        <v>19</v>
      </c>
      <c r="B1676" t="s">
        <v>5</v>
      </c>
      <c r="C1676" s="3">
        <v>43160</v>
      </c>
      <c r="D1676">
        <v>322.86</v>
      </c>
    </row>
    <row r="1677" spans="1:4" x14ac:dyDescent="0.25">
      <c r="A1677" t="s">
        <v>19</v>
      </c>
      <c r="B1677" t="s">
        <v>5</v>
      </c>
      <c r="C1677" s="3">
        <v>43191</v>
      </c>
      <c r="D1677">
        <v>325.42</v>
      </c>
    </row>
    <row r="1678" spans="1:4" x14ac:dyDescent="0.25">
      <c r="A1678" t="s">
        <v>19</v>
      </c>
      <c r="B1678" t="s">
        <v>5</v>
      </c>
      <c r="C1678" s="3">
        <v>43221</v>
      </c>
      <c r="D1678">
        <v>327.56</v>
      </c>
    </row>
    <row r="1679" spans="1:4" x14ac:dyDescent="0.25">
      <c r="A1679" t="s">
        <v>19</v>
      </c>
      <c r="B1679" t="s">
        <v>5</v>
      </c>
      <c r="C1679" s="3">
        <v>43252</v>
      </c>
      <c r="D1679">
        <v>333</v>
      </c>
    </row>
    <row r="1680" spans="1:4" x14ac:dyDescent="0.25">
      <c r="A1680" t="s">
        <v>19</v>
      </c>
      <c r="B1680" t="s">
        <v>5</v>
      </c>
      <c r="C1680" s="3">
        <v>43282</v>
      </c>
      <c r="D1680">
        <v>321.62</v>
      </c>
    </row>
    <row r="1681" spans="1:4" x14ac:dyDescent="0.25">
      <c r="A1681" t="s">
        <v>19</v>
      </c>
      <c r="B1681" t="s">
        <v>5</v>
      </c>
      <c r="C1681" s="3">
        <v>43313</v>
      </c>
      <c r="D1681">
        <v>311.92</v>
      </c>
    </row>
    <row r="1682" spans="1:4" x14ac:dyDescent="0.25">
      <c r="A1682" t="s">
        <v>19</v>
      </c>
      <c r="B1682" t="s">
        <v>5</v>
      </c>
      <c r="C1682" s="3">
        <v>43344</v>
      </c>
      <c r="D1682">
        <v>315.86</v>
      </c>
    </row>
    <row r="1683" spans="1:4" x14ac:dyDescent="0.25">
      <c r="A1683" t="s">
        <v>19</v>
      </c>
      <c r="B1683" t="s">
        <v>5</v>
      </c>
      <c r="C1683" s="3">
        <v>43374</v>
      </c>
      <c r="D1683">
        <v>331.02</v>
      </c>
    </row>
    <row r="1684" spans="1:4" x14ac:dyDescent="0.25">
      <c r="A1684" t="s">
        <v>19</v>
      </c>
      <c r="B1684" t="s">
        <v>5</v>
      </c>
      <c r="C1684" s="3">
        <v>43405</v>
      </c>
      <c r="D1684">
        <v>330.17</v>
      </c>
    </row>
    <row r="1685" spans="1:4" x14ac:dyDescent="0.25">
      <c r="A1685" t="s">
        <v>19</v>
      </c>
      <c r="B1685" t="s">
        <v>5</v>
      </c>
      <c r="C1685" s="3">
        <v>43435</v>
      </c>
      <c r="D1685">
        <v>343.82</v>
      </c>
    </row>
    <row r="1686" spans="1:4" x14ac:dyDescent="0.25">
      <c r="A1686" t="s">
        <v>19</v>
      </c>
      <c r="B1686" t="s">
        <v>5</v>
      </c>
      <c r="C1686" s="3">
        <v>43466</v>
      </c>
      <c r="D1686">
        <v>353.43</v>
      </c>
    </row>
    <row r="1687" spans="1:4" x14ac:dyDescent="0.25">
      <c r="A1687" t="s">
        <v>19</v>
      </c>
      <c r="B1687" t="s">
        <v>5</v>
      </c>
      <c r="C1687" s="3">
        <v>43497</v>
      </c>
      <c r="D1687">
        <v>362.93</v>
      </c>
    </row>
    <row r="1688" spans="1:4" x14ac:dyDescent="0.25">
      <c r="A1688" t="s">
        <v>19</v>
      </c>
      <c r="B1688" t="s">
        <v>5</v>
      </c>
      <c r="C1688" s="3">
        <v>43525</v>
      </c>
      <c r="D1688">
        <v>382.35</v>
      </c>
    </row>
    <row r="1689" spans="1:4" x14ac:dyDescent="0.25">
      <c r="A1689" t="s">
        <v>19</v>
      </c>
      <c r="B1689" t="s">
        <v>5</v>
      </c>
      <c r="C1689" s="3">
        <v>43556</v>
      </c>
      <c r="D1689">
        <v>396.75</v>
      </c>
    </row>
    <row r="1690" spans="1:4" x14ac:dyDescent="0.25">
      <c r="A1690" t="s">
        <v>19</v>
      </c>
      <c r="B1690" t="s">
        <v>5</v>
      </c>
      <c r="C1690" s="3">
        <v>43586</v>
      </c>
      <c r="D1690">
        <v>392.97</v>
      </c>
    </row>
    <row r="1691" spans="1:4" x14ac:dyDescent="0.25">
      <c r="A1691" t="s">
        <v>19</v>
      </c>
      <c r="B1691" t="s">
        <v>5</v>
      </c>
      <c r="C1691" s="3">
        <v>43617</v>
      </c>
      <c r="D1691">
        <v>384.76</v>
      </c>
    </row>
    <row r="1692" spans="1:4" x14ac:dyDescent="0.25">
      <c r="A1692" t="s">
        <v>19</v>
      </c>
      <c r="B1692" t="s">
        <v>5</v>
      </c>
      <c r="C1692" s="3">
        <v>43647</v>
      </c>
      <c r="D1692">
        <v>372.25</v>
      </c>
    </row>
    <row r="1693" spans="1:4" x14ac:dyDescent="0.25">
      <c r="A1693" t="s">
        <v>19</v>
      </c>
      <c r="B1693" t="s">
        <v>5</v>
      </c>
      <c r="C1693" s="3">
        <v>43678</v>
      </c>
      <c r="D1693">
        <v>350.75</v>
      </c>
    </row>
    <row r="1694" spans="1:4" x14ac:dyDescent="0.25">
      <c r="A1694" t="s">
        <v>19</v>
      </c>
      <c r="B1694" t="s">
        <v>5</v>
      </c>
      <c r="C1694" s="3">
        <v>43709</v>
      </c>
      <c r="D1694">
        <v>345.04</v>
      </c>
    </row>
    <row r="1695" spans="1:4" x14ac:dyDescent="0.25">
      <c r="A1695" t="s">
        <v>19</v>
      </c>
      <c r="B1695" t="s">
        <v>5</v>
      </c>
      <c r="C1695" s="3">
        <v>43739</v>
      </c>
      <c r="D1695">
        <v>347.65</v>
      </c>
    </row>
    <row r="1696" spans="1:4" x14ac:dyDescent="0.25">
      <c r="A1696" t="s">
        <v>19</v>
      </c>
      <c r="B1696" t="s">
        <v>5</v>
      </c>
      <c r="C1696" s="3">
        <v>43770</v>
      </c>
      <c r="D1696">
        <v>341.45</v>
      </c>
    </row>
    <row r="1697" spans="1:4" x14ac:dyDescent="0.25">
      <c r="A1697" t="s">
        <v>19</v>
      </c>
      <c r="B1697" t="s">
        <v>5</v>
      </c>
      <c r="C1697" s="3">
        <v>43800</v>
      </c>
      <c r="D1697">
        <v>360.51</v>
      </c>
    </row>
    <row r="1698" spans="1:4" x14ac:dyDescent="0.25">
      <c r="A1698" t="s">
        <v>19</v>
      </c>
      <c r="B1698" t="s">
        <v>5</v>
      </c>
      <c r="C1698" s="3">
        <v>43831</v>
      </c>
      <c r="D1698">
        <v>376.49</v>
      </c>
    </row>
    <row r="1699" spans="1:4" x14ac:dyDescent="0.25">
      <c r="A1699" t="s">
        <v>19</v>
      </c>
      <c r="B1699" t="s">
        <v>5</v>
      </c>
      <c r="C1699" s="3">
        <v>43862</v>
      </c>
      <c r="D1699">
        <v>395.49</v>
      </c>
    </row>
    <row r="1700" spans="1:4" x14ac:dyDescent="0.25">
      <c r="A1700" t="s">
        <v>19</v>
      </c>
      <c r="B1700" t="s">
        <v>5</v>
      </c>
      <c r="C1700" s="3">
        <v>43891</v>
      </c>
      <c r="D1700">
        <v>408.06</v>
      </c>
    </row>
    <row r="1701" spans="1:4" x14ac:dyDescent="0.25">
      <c r="A1701" t="s">
        <v>19</v>
      </c>
      <c r="B1701" t="s">
        <v>5</v>
      </c>
      <c r="C1701" s="3">
        <v>43922</v>
      </c>
      <c r="D1701">
        <v>425.12</v>
      </c>
    </row>
    <row r="1702" spans="1:4" x14ac:dyDescent="0.25">
      <c r="A1702" t="s">
        <v>19</v>
      </c>
      <c r="B1702" t="s">
        <v>5</v>
      </c>
      <c r="C1702" s="3">
        <v>43952</v>
      </c>
      <c r="D1702">
        <v>410.33</v>
      </c>
    </row>
    <row r="1703" spans="1:4" x14ac:dyDescent="0.25">
      <c r="A1703" t="s">
        <v>19</v>
      </c>
      <c r="B1703" t="s">
        <v>5</v>
      </c>
      <c r="C1703" s="3">
        <v>43983</v>
      </c>
      <c r="D1703">
        <v>419.18</v>
      </c>
    </row>
    <row r="1704" spans="1:4" x14ac:dyDescent="0.25">
      <c r="A1704" t="s">
        <v>19</v>
      </c>
      <c r="B1704" t="s">
        <v>5</v>
      </c>
      <c r="C1704" s="3">
        <v>44013</v>
      </c>
      <c r="D1704">
        <v>415.22</v>
      </c>
    </row>
    <row r="1705" spans="1:4" x14ac:dyDescent="0.25">
      <c r="A1705" t="s">
        <v>19</v>
      </c>
      <c r="B1705" t="s">
        <v>5</v>
      </c>
      <c r="C1705" s="3">
        <v>44044</v>
      </c>
      <c r="D1705">
        <v>418.72</v>
      </c>
    </row>
    <row r="1706" spans="1:4" x14ac:dyDescent="0.25">
      <c r="A1706" t="s">
        <v>19</v>
      </c>
      <c r="B1706" t="s">
        <v>5</v>
      </c>
      <c r="C1706" s="3">
        <v>44075</v>
      </c>
      <c r="D1706">
        <v>459.33</v>
      </c>
    </row>
    <row r="1707" spans="1:4" x14ac:dyDescent="0.25">
      <c r="A1707" t="s">
        <v>19</v>
      </c>
      <c r="B1707" t="s">
        <v>5</v>
      </c>
      <c r="C1707" s="3">
        <v>44105</v>
      </c>
      <c r="D1707">
        <v>454.5</v>
      </c>
    </row>
    <row r="1708" spans="1:4" x14ac:dyDescent="0.25">
      <c r="A1708" t="s">
        <v>19</v>
      </c>
      <c r="B1708" t="s">
        <v>5</v>
      </c>
      <c r="C1708" s="3">
        <v>44136</v>
      </c>
      <c r="D1708">
        <v>488.1</v>
      </c>
    </row>
    <row r="1709" spans="1:4" x14ac:dyDescent="0.25">
      <c r="A1709" t="s">
        <v>19</v>
      </c>
      <c r="B1709" t="s">
        <v>5</v>
      </c>
      <c r="C1709" s="3">
        <v>44166</v>
      </c>
      <c r="D1709">
        <v>479.08</v>
      </c>
    </row>
    <row r="1710" spans="1:4" x14ac:dyDescent="0.25">
      <c r="A1710" t="s">
        <v>19</v>
      </c>
      <c r="B1710" t="s">
        <v>5</v>
      </c>
      <c r="C1710" s="3">
        <v>44197</v>
      </c>
      <c r="D1710">
        <v>488.94</v>
      </c>
    </row>
    <row r="1711" spans="1:4" x14ac:dyDescent="0.25">
      <c r="A1711" t="s">
        <v>19</v>
      </c>
      <c r="B1711" t="s">
        <v>5</v>
      </c>
      <c r="C1711" s="3">
        <v>44228</v>
      </c>
      <c r="D1711">
        <v>479.19</v>
      </c>
    </row>
    <row r="1712" spans="1:4" x14ac:dyDescent="0.25">
      <c r="A1712" t="s">
        <v>19</v>
      </c>
      <c r="B1712" t="s">
        <v>5</v>
      </c>
      <c r="C1712" s="3">
        <v>44256</v>
      </c>
      <c r="D1712">
        <v>461.28</v>
      </c>
    </row>
    <row r="1713" spans="1:4" x14ac:dyDescent="0.25">
      <c r="A1713" t="s">
        <v>19</v>
      </c>
      <c r="B1713" t="s">
        <v>5</v>
      </c>
      <c r="C1713" s="3">
        <v>44287</v>
      </c>
      <c r="D1713">
        <v>457.56</v>
      </c>
    </row>
    <row r="1714" spans="1:4" x14ac:dyDescent="0.25">
      <c r="A1714" t="s">
        <v>19</v>
      </c>
      <c r="B1714" t="s">
        <v>5</v>
      </c>
      <c r="C1714" s="3">
        <v>44317</v>
      </c>
      <c r="D1714">
        <v>470.14</v>
      </c>
    </row>
    <row r="1715" spans="1:4" x14ac:dyDescent="0.25">
      <c r="A1715" t="s">
        <v>19</v>
      </c>
      <c r="B1715" t="s">
        <v>5</v>
      </c>
      <c r="C1715" s="3">
        <v>44348</v>
      </c>
      <c r="D1715">
        <v>467.3</v>
      </c>
    </row>
    <row r="1716" spans="1:4" x14ac:dyDescent="0.25">
      <c r="A1716" t="s">
        <v>19</v>
      </c>
      <c r="B1716" t="s">
        <v>5</v>
      </c>
      <c r="C1716" s="3">
        <v>44378</v>
      </c>
      <c r="D1716">
        <v>482.58</v>
      </c>
    </row>
    <row r="1717" spans="1:4" x14ac:dyDescent="0.25">
      <c r="A1717" t="s">
        <v>19</v>
      </c>
      <c r="B1717" t="s">
        <v>5</v>
      </c>
      <c r="C1717" s="3">
        <v>44409</v>
      </c>
      <c r="D1717">
        <v>485.44</v>
      </c>
    </row>
    <row r="1718" spans="1:4" x14ac:dyDescent="0.25">
      <c r="A1718" t="s">
        <v>19</v>
      </c>
      <c r="B1718" t="s">
        <v>5</v>
      </c>
      <c r="C1718" s="3">
        <v>44440</v>
      </c>
      <c r="D1718">
        <v>478.86</v>
      </c>
    </row>
    <row r="1719" spans="1:4" x14ac:dyDescent="0.25">
      <c r="A1719" t="s">
        <v>19</v>
      </c>
      <c r="B1719" t="s">
        <v>5</v>
      </c>
      <c r="C1719" s="3">
        <v>44470</v>
      </c>
      <c r="D1719">
        <v>487.59</v>
      </c>
    </row>
    <row r="1720" spans="1:4" x14ac:dyDescent="0.25">
      <c r="A1720" t="s">
        <v>19</v>
      </c>
      <c r="B1720" t="s">
        <v>5</v>
      </c>
      <c r="C1720" s="3">
        <v>44501</v>
      </c>
      <c r="D1720">
        <v>505.94</v>
      </c>
    </row>
    <row r="1721" spans="1:4" x14ac:dyDescent="0.25">
      <c r="A1721" t="s">
        <v>19</v>
      </c>
      <c r="B1721" t="s">
        <v>5</v>
      </c>
      <c r="C1721" s="3">
        <v>44531</v>
      </c>
      <c r="D1721">
        <v>518.21</v>
      </c>
    </row>
    <row r="1722" spans="1:4" x14ac:dyDescent="0.25">
      <c r="A1722" t="s">
        <v>19</v>
      </c>
      <c r="B1722" t="s">
        <v>5</v>
      </c>
      <c r="C1722" s="3">
        <v>44562</v>
      </c>
      <c r="D1722">
        <v>540.01</v>
      </c>
    </row>
    <row r="1723" spans="1:4" x14ac:dyDescent="0.25">
      <c r="A1723" t="s">
        <v>19</v>
      </c>
      <c r="B1723" t="s">
        <v>5</v>
      </c>
      <c r="C1723" s="3">
        <v>44593</v>
      </c>
      <c r="D1723">
        <v>552.29999999999995</v>
      </c>
    </row>
    <row r="1724" spans="1:4" x14ac:dyDescent="0.25">
      <c r="A1724" t="s">
        <v>19</v>
      </c>
      <c r="B1724" t="s">
        <v>5</v>
      </c>
      <c r="C1724" s="3">
        <v>44621</v>
      </c>
      <c r="D1724">
        <v>560.39</v>
      </c>
    </row>
    <row r="1725" spans="1:4" x14ac:dyDescent="0.25">
      <c r="A1725" t="s">
        <v>19</v>
      </c>
      <c r="B1725" t="s">
        <v>5</v>
      </c>
      <c r="C1725" s="3">
        <v>44652</v>
      </c>
      <c r="D1725">
        <v>575.84</v>
      </c>
    </row>
    <row r="1726" spans="1:4" x14ac:dyDescent="0.25">
      <c r="A1726" t="s">
        <v>19</v>
      </c>
      <c r="B1726" t="s">
        <v>5</v>
      </c>
      <c r="C1726" s="3">
        <v>44682</v>
      </c>
      <c r="D1726">
        <v>578.88</v>
      </c>
    </row>
    <row r="1727" spans="1:4" x14ac:dyDescent="0.25">
      <c r="A1727" t="s">
        <v>19</v>
      </c>
      <c r="B1727" t="s">
        <v>5</v>
      </c>
      <c r="C1727" s="3">
        <v>44713</v>
      </c>
      <c r="D1727">
        <v>580.82000000000005</v>
      </c>
    </row>
    <row r="1728" spans="1:4" x14ac:dyDescent="0.25">
      <c r="A1728" t="s">
        <v>19</v>
      </c>
      <c r="B1728" t="s">
        <v>5</v>
      </c>
      <c r="C1728" s="3">
        <v>44743</v>
      </c>
      <c r="D1728">
        <v>586.54</v>
      </c>
    </row>
    <row r="1729" spans="1:4" x14ac:dyDescent="0.25">
      <c r="A1729" t="s">
        <v>19</v>
      </c>
      <c r="B1729" t="s">
        <v>5</v>
      </c>
      <c r="C1729" s="3">
        <v>44774</v>
      </c>
      <c r="D1729">
        <v>576.92999999999995</v>
      </c>
    </row>
    <row r="1730" spans="1:4" x14ac:dyDescent="0.25">
      <c r="A1730" t="s">
        <v>19</v>
      </c>
      <c r="B1730" t="s">
        <v>5</v>
      </c>
      <c r="C1730" s="3">
        <v>44805</v>
      </c>
      <c r="D1730">
        <v>560.30999999999995</v>
      </c>
    </row>
    <row r="1731" spans="1:4" x14ac:dyDescent="0.25">
      <c r="A1731" t="s">
        <v>19</v>
      </c>
      <c r="B1731" t="s">
        <v>5</v>
      </c>
      <c r="C1731" s="3">
        <v>44835</v>
      </c>
      <c r="D1731">
        <v>562.59</v>
      </c>
    </row>
    <row r="1732" spans="1:4" x14ac:dyDescent="0.25">
      <c r="A1732" t="s">
        <v>19</v>
      </c>
      <c r="B1732" t="s">
        <v>5</v>
      </c>
      <c r="C1732" s="3">
        <v>44866</v>
      </c>
      <c r="D1732">
        <v>550.66999999999996</v>
      </c>
    </row>
    <row r="1733" spans="1:4" x14ac:dyDescent="0.25">
      <c r="A1733" t="s">
        <v>19</v>
      </c>
      <c r="B1733" t="s">
        <v>5</v>
      </c>
      <c r="C1733" s="3">
        <v>44896</v>
      </c>
      <c r="D1733">
        <v>570.70000000000005</v>
      </c>
    </row>
    <row r="1734" spans="1:4" x14ac:dyDescent="0.25">
      <c r="A1734" t="s">
        <v>19</v>
      </c>
      <c r="B1734" t="s">
        <v>5</v>
      </c>
      <c r="C1734" s="3">
        <v>44927</v>
      </c>
      <c r="D1734">
        <v>594.83000000000004</v>
      </c>
    </row>
    <row r="1735" spans="1:4" x14ac:dyDescent="0.25">
      <c r="A1735" t="s">
        <v>19</v>
      </c>
      <c r="B1735" t="s">
        <v>5</v>
      </c>
      <c r="C1735" s="3">
        <v>44958</v>
      </c>
      <c r="D1735">
        <v>596.88</v>
      </c>
    </row>
    <row r="1736" spans="1:4" x14ac:dyDescent="0.25">
      <c r="A1736" t="s">
        <v>19</v>
      </c>
      <c r="B1736" t="s">
        <v>5</v>
      </c>
      <c r="C1736" s="3">
        <v>44986</v>
      </c>
      <c r="D1736">
        <v>591.4</v>
      </c>
    </row>
    <row r="1737" spans="1:4" x14ac:dyDescent="0.25">
      <c r="A1737" t="s">
        <v>19</v>
      </c>
      <c r="B1737" t="s">
        <v>5</v>
      </c>
      <c r="C1737" s="3">
        <v>45017</v>
      </c>
      <c r="D1737">
        <v>585.99</v>
      </c>
    </row>
    <row r="1738" spans="1:4" x14ac:dyDescent="0.25">
      <c r="A1738" t="s">
        <v>19</v>
      </c>
      <c r="B1738" t="s">
        <v>5</v>
      </c>
      <c r="C1738" s="3">
        <v>45047</v>
      </c>
      <c r="D1738">
        <v>594.32000000000005</v>
      </c>
    </row>
    <row r="1739" spans="1:4" x14ac:dyDescent="0.25">
      <c r="A1739" t="s">
        <v>19</v>
      </c>
      <c r="B1739" t="s">
        <v>5</v>
      </c>
      <c r="C1739" s="3">
        <v>45078</v>
      </c>
      <c r="D1739">
        <v>595.84</v>
      </c>
    </row>
    <row r="1740" spans="1:4" x14ac:dyDescent="0.25">
      <c r="A1740" t="s">
        <v>19</v>
      </c>
      <c r="B1740" t="s">
        <v>5</v>
      </c>
      <c r="C1740" s="3">
        <v>45108</v>
      </c>
      <c r="D1740">
        <v>596.04</v>
      </c>
    </row>
    <row r="1741" spans="1:4" x14ac:dyDescent="0.25">
      <c r="A1741" t="s">
        <v>19</v>
      </c>
      <c r="B1741" t="s">
        <v>5</v>
      </c>
      <c r="C1741" s="3">
        <v>45139</v>
      </c>
      <c r="D1741">
        <v>575.80999999999995</v>
      </c>
    </row>
    <row r="1742" spans="1:4" x14ac:dyDescent="0.25">
      <c r="A1742" t="s">
        <v>19</v>
      </c>
      <c r="B1742" t="s">
        <v>5</v>
      </c>
      <c r="C1742" s="3">
        <v>45170</v>
      </c>
      <c r="D1742">
        <v>571.01</v>
      </c>
    </row>
    <row r="1743" spans="1:4" x14ac:dyDescent="0.25">
      <c r="A1743" t="s">
        <v>19</v>
      </c>
      <c r="B1743" t="s">
        <v>5</v>
      </c>
      <c r="C1743" s="3">
        <v>45200</v>
      </c>
      <c r="D1743">
        <v>563.1</v>
      </c>
    </row>
    <row r="1744" spans="1:4" x14ac:dyDescent="0.25">
      <c r="A1744" t="s">
        <v>19</v>
      </c>
      <c r="B1744" t="s">
        <v>5</v>
      </c>
      <c r="C1744" s="3">
        <v>45231</v>
      </c>
      <c r="D1744">
        <v>550.86</v>
      </c>
    </row>
    <row r="1745" spans="1:4" x14ac:dyDescent="0.25">
      <c r="A1745" t="s">
        <v>19</v>
      </c>
      <c r="B1745" t="s">
        <v>5</v>
      </c>
      <c r="C1745" s="3">
        <v>45261</v>
      </c>
      <c r="D1745">
        <v>560.80999999999995</v>
      </c>
    </row>
    <row r="1746" spans="1:4" x14ac:dyDescent="0.25">
      <c r="A1746" t="s">
        <v>19</v>
      </c>
      <c r="B1746" t="s">
        <v>5</v>
      </c>
      <c r="C1746" s="3">
        <v>45292</v>
      </c>
      <c r="D1746">
        <v>593.26</v>
      </c>
    </row>
    <row r="1747" spans="1:4" x14ac:dyDescent="0.25">
      <c r="A1747" t="s">
        <v>19</v>
      </c>
      <c r="B1747" t="s">
        <v>5</v>
      </c>
      <c r="C1747" s="3">
        <v>45323</v>
      </c>
      <c r="D1747">
        <v>604.29999999999995</v>
      </c>
    </row>
    <row r="1748" spans="1:4" x14ac:dyDescent="0.25">
      <c r="A1748" t="s">
        <v>19</v>
      </c>
      <c r="B1748" t="s">
        <v>5</v>
      </c>
      <c r="C1748" s="3">
        <v>45352</v>
      </c>
      <c r="D1748">
        <v>620.13</v>
      </c>
    </row>
    <row r="1749" spans="1:4" x14ac:dyDescent="0.25">
      <c r="A1749" t="s">
        <v>19</v>
      </c>
      <c r="B1749" t="s">
        <v>5</v>
      </c>
      <c r="C1749" s="3">
        <v>45383</v>
      </c>
      <c r="D1749">
        <v>640.12</v>
      </c>
    </row>
    <row r="1750" spans="1:4" x14ac:dyDescent="0.25">
      <c r="A1750" t="s">
        <v>19</v>
      </c>
      <c r="B1750" t="s">
        <v>5</v>
      </c>
      <c r="C1750" s="3">
        <v>45413</v>
      </c>
      <c r="D1750">
        <v>623.04999999999995</v>
      </c>
    </row>
    <row r="1751" spans="1:4" x14ac:dyDescent="0.25">
      <c r="A1751" t="s">
        <v>19</v>
      </c>
      <c r="B1751" t="s">
        <v>5</v>
      </c>
      <c r="C1751" s="3">
        <v>45444</v>
      </c>
      <c r="D1751">
        <v>613.22</v>
      </c>
    </row>
    <row r="1752" spans="1:4" x14ac:dyDescent="0.25">
      <c r="A1752" t="s">
        <v>19</v>
      </c>
      <c r="B1752" t="s">
        <v>5</v>
      </c>
      <c r="C1752" s="3">
        <v>45474</v>
      </c>
      <c r="D1752">
        <v>579.75</v>
      </c>
    </row>
    <row r="1753" spans="1:4" x14ac:dyDescent="0.25">
      <c r="A1753" t="s">
        <v>19</v>
      </c>
      <c r="B1753" t="s">
        <v>5</v>
      </c>
      <c r="C1753" s="3">
        <v>45505</v>
      </c>
      <c r="D1753">
        <v>560.72</v>
      </c>
    </row>
    <row r="1754" spans="1:4" x14ac:dyDescent="0.25">
      <c r="A1754" t="s">
        <v>19</v>
      </c>
      <c r="B1754" t="s">
        <v>5</v>
      </c>
      <c r="C1754" s="3">
        <v>45536</v>
      </c>
      <c r="D1754">
        <v>553.62</v>
      </c>
    </row>
    <row r="1755" spans="1:4" x14ac:dyDescent="0.25">
      <c r="A1755" t="s">
        <v>19</v>
      </c>
      <c r="B1755" t="s">
        <v>5</v>
      </c>
      <c r="C1755" s="3">
        <v>45566</v>
      </c>
      <c r="D1755">
        <v>560.65</v>
      </c>
    </row>
    <row r="1756" spans="1:4" x14ac:dyDescent="0.25">
      <c r="A1756" t="s">
        <v>19</v>
      </c>
      <c r="B1756" t="s">
        <v>5</v>
      </c>
      <c r="C1756" s="3">
        <v>45597</v>
      </c>
      <c r="D1756">
        <v>574.78</v>
      </c>
    </row>
    <row r="1757" spans="1:4" x14ac:dyDescent="0.25">
      <c r="A1757" t="s">
        <v>19</v>
      </c>
      <c r="B1757" t="s">
        <v>5</v>
      </c>
      <c r="C1757" s="3">
        <v>45627</v>
      </c>
      <c r="D1757">
        <v>583.89</v>
      </c>
    </row>
    <row r="1758" spans="1:4" x14ac:dyDescent="0.25">
      <c r="A1758" t="s">
        <v>19</v>
      </c>
      <c r="B1758" t="s">
        <v>5</v>
      </c>
      <c r="C1758" s="3">
        <v>45658</v>
      </c>
      <c r="D1758">
        <v>620.23</v>
      </c>
    </row>
    <row r="1759" spans="1:4" x14ac:dyDescent="0.25">
      <c r="A1759" t="s">
        <v>19</v>
      </c>
      <c r="B1759" t="s">
        <v>5</v>
      </c>
      <c r="C1759" s="3">
        <v>45689</v>
      </c>
      <c r="D1759">
        <v>628.79999999999995</v>
      </c>
    </row>
    <row r="1760" spans="1:4" x14ac:dyDescent="0.25">
      <c r="A1760" t="s">
        <v>19</v>
      </c>
      <c r="B1760" t="s">
        <v>5</v>
      </c>
      <c r="C1760" s="3">
        <v>45717</v>
      </c>
      <c r="D1760">
        <v>633.58000000000004</v>
      </c>
    </row>
    <row r="1761" spans="1:4" x14ac:dyDescent="0.25">
      <c r="A1761" t="s">
        <v>19</v>
      </c>
      <c r="B1761" t="s">
        <v>5</v>
      </c>
      <c r="C1761" s="3">
        <v>45748</v>
      </c>
      <c r="D1761">
        <v>632.12</v>
      </c>
    </row>
    <row r="1762" spans="1:4" x14ac:dyDescent="0.25">
      <c r="A1762" t="s">
        <v>19</v>
      </c>
      <c r="B1762" t="s">
        <v>5</v>
      </c>
      <c r="C1762" s="3">
        <v>45778</v>
      </c>
      <c r="D1762">
        <v>628.97</v>
      </c>
    </row>
    <row r="1763" spans="1:4" x14ac:dyDescent="0.25">
      <c r="A1763" t="s">
        <v>19</v>
      </c>
      <c r="B1763" t="s">
        <v>5</v>
      </c>
      <c r="C1763" s="3">
        <v>45809</v>
      </c>
      <c r="D1763">
        <v>623.85</v>
      </c>
    </row>
    <row r="1764" spans="1:4" x14ac:dyDescent="0.25">
      <c r="A1764" t="s">
        <v>20</v>
      </c>
      <c r="B1764" t="s">
        <v>5</v>
      </c>
      <c r="C1764" s="3">
        <v>42005</v>
      </c>
      <c r="D1764">
        <v>371.22</v>
      </c>
    </row>
    <row r="1765" spans="1:4" x14ac:dyDescent="0.25">
      <c r="A1765" t="s">
        <v>20</v>
      </c>
      <c r="B1765" t="s">
        <v>5</v>
      </c>
      <c r="C1765" s="3">
        <v>42036</v>
      </c>
      <c r="D1765">
        <v>378.86</v>
      </c>
    </row>
    <row r="1766" spans="1:4" x14ac:dyDescent="0.25">
      <c r="A1766" t="s">
        <v>20</v>
      </c>
      <c r="B1766" t="s">
        <v>5</v>
      </c>
      <c r="C1766" s="3">
        <v>42064</v>
      </c>
      <c r="D1766">
        <v>379.35</v>
      </c>
    </row>
    <row r="1767" spans="1:4" x14ac:dyDescent="0.25">
      <c r="A1767" t="s">
        <v>20</v>
      </c>
      <c r="B1767" t="s">
        <v>5</v>
      </c>
      <c r="C1767" s="3">
        <v>42095</v>
      </c>
      <c r="D1767">
        <v>387.05</v>
      </c>
    </row>
    <row r="1768" spans="1:4" x14ac:dyDescent="0.25">
      <c r="A1768" t="s">
        <v>20</v>
      </c>
      <c r="B1768" t="s">
        <v>5</v>
      </c>
      <c r="C1768" s="3">
        <v>42125</v>
      </c>
      <c r="D1768">
        <v>402.05</v>
      </c>
    </row>
    <row r="1769" spans="1:4" x14ac:dyDescent="0.25">
      <c r="A1769" t="s">
        <v>20</v>
      </c>
      <c r="B1769" t="s">
        <v>5</v>
      </c>
      <c r="C1769" s="3">
        <v>42156</v>
      </c>
      <c r="D1769">
        <v>392.77</v>
      </c>
    </row>
    <row r="1770" spans="1:4" x14ac:dyDescent="0.25">
      <c r="A1770" t="s">
        <v>20</v>
      </c>
      <c r="B1770" t="s">
        <v>5</v>
      </c>
      <c r="C1770" s="3">
        <v>42186</v>
      </c>
      <c r="D1770">
        <v>395.83</v>
      </c>
    </row>
    <row r="1771" spans="1:4" x14ac:dyDescent="0.25">
      <c r="A1771" t="s">
        <v>20</v>
      </c>
      <c r="B1771" t="s">
        <v>5</v>
      </c>
      <c r="C1771" s="3">
        <v>42217</v>
      </c>
      <c r="D1771">
        <v>386.04</v>
      </c>
    </row>
    <row r="1772" spans="1:4" x14ac:dyDescent="0.25">
      <c r="A1772" t="s">
        <v>20</v>
      </c>
      <c r="B1772" t="s">
        <v>5</v>
      </c>
      <c r="C1772" s="3">
        <v>42248</v>
      </c>
      <c r="D1772">
        <v>383.21</v>
      </c>
    </row>
    <row r="1773" spans="1:4" x14ac:dyDescent="0.25">
      <c r="A1773" t="s">
        <v>20</v>
      </c>
      <c r="B1773" t="s">
        <v>5</v>
      </c>
      <c r="C1773" s="3">
        <v>42278</v>
      </c>
      <c r="D1773">
        <v>382.13</v>
      </c>
    </row>
    <row r="1774" spans="1:4" x14ac:dyDescent="0.25">
      <c r="A1774" t="s">
        <v>20</v>
      </c>
      <c r="B1774" t="s">
        <v>5</v>
      </c>
      <c r="C1774" s="3">
        <v>42309</v>
      </c>
      <c r="D1774">
        <v>399.21</v>
      </c>
    </row>
    <row r="1775" spans="1:4" x14ac:dyDescent="0.25">
      <c r="A1775" t="s">
        <v>20</v>
      </c>
      <c r="B1775" t="s">
        <v>5</v>
      </c>
      <c r="C1775" s="3">
        <v>42339</v>
      </c>
      <c r="D1775">
        <v>412.12</v>
      </c>
    </row>
    <row r="1776" spans="1:4" x14ac:dyDescent="0.25">
      <c r="A1776" t="s">
        <v>20</v>
      </c>
      <c r="B1776" t="s">
        <v>5</v>
      </c>
      <c r="C1776" s="3">
        <v>42370</v>
      </c>
      <c r="D1776">
        <v>448.31</v>
      </c>
    </row>
    <row r="1777" spans="1:4" x14ac:dyDescent="0.25">
      <c r="A1777" t="s">
        <v>20</v>
      </c>
      <c r="B1777" t="s">
        <v>5</v>
      </c>
      <c r="C1777" s="3">
        <v>42401</v>
      </c>
      <c r="D1777">
        <v>443.4</v>
      </c>
    </row>
    <row r="1778" spans="1:4" x14ac:dyDescent="0.25">
      <c r="A1778" t="s">
        <v>20</v>
      </c>
      <c r="B1778" t="s">
        <v>5</v>
      </c>
      <c r="C1778" s="3">
        <v>42430</v>
      </c>
      <c r="D1778">
        <v>444.11</v>
      </c>
    </row>
    <row r="1779" spans="1:4" x14ac:dyDescent="0.25">
      <c r="A1779" t="s">
        <v>20</v>
      </c>
      <c r="B1779" t="s">
        <v>5</v>
      </c>
      <c r="C1779" s="3">
        <v>42461</v>
      </c>
      <c r="D1779">
        <v>442.42</v>
      </c>
    </row>
    <row r="1780" spans="1:4" x14ac:dyDescent="0.25">
      <c r="A1780" t="s">
        <v>20</v>
      </c>
      <c r="B1780" t="s">
        <v>5</v>
      </c>
      <c r="C1780" s="3">
        <v>42491</v>
      </c>
      <c r="D1780">
        <v>449.7</v>
      </c>
    </row>
    <row r="1781" spans="1:4" x14ac:dyDescent="0.25">
      <c r="A1781" t="s">
        <v>20</v>
      </c>
      <c r="B1781" t="s">
        <v>5</v>
      </c>
      <c r="C1781" s="3">
        <v>42522</v>
      </c>
      <c r="D1781">
        <v>469.02</v>
      </c>
    </row>
    <row r="1782" spans="1:4" x14ac:dyDescent="0.25">
      <c r="A1782" t="s">
        <v>20</v>
      </c>
      <c r="B1782" t="s">
        <v>5</v>
      </c>
      <c r="C1782" s="3">
        <v>42552</v>
      </c>
      <c r="D1782">
        <v>475.27</v>
      </c>
    </row>
    <row r="1783" spans="1:4" x14ac:dyDescent="0.25">
      <c r="A1783" t="s">
        <v>20</v>
      </c>
      <c r="B1783" t="s">
        <v>5</v>
      </c>
      <c r="C1783" s="3">
        <v>42583</v>
      </c>
      <c r="D1783">
        <v>475.11</v>
      </c>
    </row>
    <row r="1784" spans="1:4" x14ac:dyDescent="0.25">
      <c r="A1784" t="s">
        <v>20</v>
      </c>
      <c r="B1784" t="s">
        <v>5</v>
      </c>
      <c r="C1784" s="3">
        <v>42614</v>
      </c>
      <c r="D1784">
        <v>471.57</v>
      </c>
    </row>
    <row r="1785" spans="1:4" x14ac:dyDescent="0.25">
      <c r="A1785" t="s">
        <v>20</v>
      </c>
      <c r="B1785" t="s">
        <v>5</v>
      </c>
      <c r="C1785" s="3">
        <v>42644</v>
      </c>
      <c r="D1785">
        <v>469.55</v>
      </c>
    </row>
    <row r="1786" spans="1:4" x14ac:dyDescent="0.25">
      <c r="A1786" t="s">
        <v>20</v>
      </c>
      <c r="B1786" t="s">
        <v>5</v>
      </c>
      <c r="C1786" s="3">
        <v>42675</v>
      </c>
      <c r="D1786">
        <v>450.39</v>
      </c>
    </row>
    <row r="1787" spans="1:4" x14ac:dyDescent="0.25">
      <c r="A1787" t="s">
        <v>20</v>
      </c>
      <c r="B1787" t="s">
        <v>5</v>
      </c>
      <c r="C1787" s="3">
        <v>42705</v>
      </c>
      <c r="D1787">
        <v>438.89</v>
      </c>
    </row>
    <row r="1788" spans="1:4" x14ac:dyDescent="0.25">
      <c r="A1788" t="s">
        <v>20</v>
      </c>
      <c r="B1788" t="s">
        <v>5</v>
      </c>
      <c r="C1788" s="3">
        <v>42736</v>
      </c>
      <c r="D1788">
        <v>435.89</v>
      </c>
    </row>
    <row r="1789" spans="1:4" x14ac:dyDescent="0.25">
      <c r="A1789" t="s">
        <v>20</v>
      </c>
      <c r="B1789" t="s">
        <v>5</v>
      </c>
      <c r="C1789" s="3">
        <v>42767</v>
      </c>
      <c r="D1789">
        <v>426.22</v>
      </c>
    </row>
    <row r="1790" spans="1:4" x14ac:dyDescent="0.25">
      <c r="A1790" t="s">
        <v>20</v>
      </c>
      <c r="B1790" t="s">
        <v>5</v>
      </c>
      <c r="C1790" s="3">
        <v>42795</v>
      </c>
      <c r="D1790">
        <v>435.34</v>
      </c>
    </row>
    <row r="1791" spans="1:4" x14ac:dyDescent="0.25">
      <c r="A1791" t="s">
        <v>20</v>
      </c>
      <c r="B1791" t="s">
        <v>5</v>
      </c>
      <c r="C1791" s="3">
        <v>42826</v>
      </c>
      <c r="D1791">
        <v>446.28</v>
      </c>
    </row>
    <row r="1792" spans="1:4" x14ac:dyDescent="0.25">
      <c r="A1792" t="s">
        <v>20</v>
      </c>
      <c r="B1792" t="s">
        <v>5</v>
      </c>
      <c r="C1792" s="3">
        <v>42856</v>
      </c>
      <c r="D1792">
        <v>458.93</v>
      </c>
    </row>
    <row r="1793" spans="1:4" x14ac:dyDescent="0.25">
      <c r="A1793" t="s">
        <v>20</v>
      </c>
      <c r="B1793" t="s">
        <v>5</v>
      </c>
      <c r="C1793" s="3">
        <v>42887</v>
      </c>
      <c r="D1793">
        <v>441.61</v>
      </c>
    </row>
    <row r="1794" spans="1:4" x14ac:dyDescent="0.25">
      <c r="A1794" t="s">
        <v>20</v>
      </c>
      <c r="B1794" t="s">
        <v>5</v>
      </c>
      <c r="C1794" s="3">
        <v>42917</v>
      </c>
      <c r="D1794">
        <v>445.83</v>
      </c>
    </row>
    <row r="1795" spans="1:4" x14ac:dyDescent="0.25">
      <c r="A1795" t="s">
        <v>20</v>
      </c>
      <c r="B1795" t="s">
        <v>5</v>
      </c>
      <c r="C1795" s="3">
        <v>42948</v>
      </c>
      <c r="D1795">
        <v>431.66</v>
      </c>
    </row>
    <row r="1796" spans="1:4" x14ac:dyDescent="0.25">
      <c r="A1796" t="s">
        <v>20</v>
      </c>
      <c r="B1796" t="s">
        <v>5</v>
      </c>
      <c r="C1796" s="3">
        <v>42979</v>
      </c>
      <c r="D1796">
        <v>421.02</v>
      </c>
    </row>
    <row r="1797" spans="1:4" x14ac:dyDescent="0.25">
      <c r="A1797" t="s">
        <v>20</v>
      </c>
      <c r="B1797" t="s">
        <v>5</v>
      </c>
      <c r="C1797" s="3">
        <v>43009</v>
      </c>
      <c r="D1797">
        <v>428.13</v>
      </c>
    </row>
    <row r="1798" spans="1:4" x14ac:dyDescent="0.25">
      <c r="A1798" t="s">
        <v>20</v>
      </c>
      <c r="B1798" t="s">
        <v>5</v>
      </c>
      <c r="C1798" s="3">
        <v>43040</v>
      </c>
      <c r="D1798">
        <v>423.23</v>
      </c>
    </row>
    <row r="1799" spans="1:4" x14ac:dyDescent="0.25">
      <c r="A1799" t="s">
        <v>20</v>
      </c>
      <c r="B1799" t="s">
        <v>5</v>
      </c>
      <c r="C1799" s="3">
        <v>43070</v>
      </c>
      <c r="D1799">
        <v>424.36</v>
      </c>
    </row>
    <row r="1800" spans="1:4" x14ac:dyDescent="0.25">
      <c r="A1800" t="s">
        <v>20</v>
      </c>
      <c r="B1800" t="s">
        <v>5</v>
      </c>
      <c r="C1800" s="3">
        <v>43101</v>
      </c>
      <c r="D1800">
        <v>439.2</v>
      </c>
    </row>
    <row r="1801" spans="1:4" x14ac:dyDescent="0.25">
      <c r="A1801" t="s">
        <v>20</v>
      </c>
      <c r="B1801" t="s">
        <v>5</v>
      </c>
      <c r="C1801" s="3">
        <v>43132</v>
      </c>
      <c r="D1801">
        <v>437.33</v>
      </c>
    </row>
    <row r="1802" spans="1:4" x14ac:dyDescent="0.25">
      <c r="A1802" t="s">
        <v>20</v>
      </c>
      <c r="B1802" t="s">
        <v>5</v>
      </c>
      <c r="C1802" s="3">
        <v>43160</v>
      </c>
      <c r="D1802">
        <v>437.84</v>
      </c>
    </row>
    <row r="1803" spans="1:4" x14ac:dyDescent="0.25">
      <c r="A1803" t="s">
        <v>20</v>
      </c>
      <c r="B1803" t="s">
        <v>5</v>
      </c>
      <c r="C1803" s="3">
        <v>43191</v>
      </c>
      <c r="D1803">
        <v>434.8</v>
      </c>
    </row>
    <row r="1804" spans="1:4" x14ac:dyDescent="0.25">
      <c r="A1804" t="s">
        <v>20</v>
      </c>
      <c r="B1804" t="s">
        <v>5</v>
      </c>
      <c r="C1804" s="3">
        <v>43221</v>
      </c>
      <c r="D1804">
        <v>441.16</v>
      </c>
    </row>
    <row r="1805" spans="1:4" x14ac:dyDescent="0.25">
      <c r="A1805" t="s">
        <v>20</v>
      </c>
      <c r="B1805" t="s">
        <v>5</v>
      </c>
      <c r="C1805" s="3">
        <v>43252</v>
      </c>
      <c r="D1805">
        <v>451.63</v>
      </c>
    </row>
    <row r="1806" spans="1:4" x14ac:dyDescent="0.25">
      <c r="A1806" t="s">
        <v>20</v>
      </c>
      <c r="B1806" t="s">
        <v>5</v>
      </c>
      <c r="C1806" s="3">
        <v>43282</v>
      </c>
      <c r="D1806">
        <v>437.42</v>
      </c>
    </row>
    <row r="1807" spans="1:4" x14ac:dyDescent="0.25">
      <c r="A1807" t="s">
        <v>20</v>
      </c>
      <c r="B1807" t="s">
        <v>5</v>
      </c>
      <c r="C1807" s="3">
        <v>43313</v>
      </c>
      <c r="D1807">
        <v>432.81</v>
      </c>
    </row>
    <row r="1808" spans="1:4" x14ac:dyDescent="0.25">
      <c r="A1808" t="s">
        <v>20</v>
      </c>
      <c r="B1808" t="s">
        <v>5</v>
      </c>
      <c r="C1808" s="3">
        <v>43344</v>
      </c>
      <c r="D1808">
        <v>432.83</v>
      </c>
    </row>
    <row r="1809" spans="1:4" x14ac:dyDescent="0.25">
      <c r="A1809" t="s">
        <v>20</v>
      </c>
      <c r="B1809" t="s">
        <v>5</v>
      </c>
      <c r="C1809" s="3">
        <v>43374</v>
      </c>
      <c r="D1809">
        <v>446.02</v>
      </c>
    </row>
    <row r="1810" spans="1:4" x14ac:dyDescent="0.25">
      <c r="A1810" t="s">
        <v>20</v>
      </c>
      <c r="B1810" t="s">
        <v>5</v>
      </c>
      <c r="C1810" s="3">
        <v>43405</v>
      </c>
      <c r="D1810">
        <v>471.37</v>
      </c>
    </row>
    <row r="1811" spans="1:4" x14ac:dyDescent="0.25">
      <c r="A1811" t="s">
        <v>20</v>
      </c>
      <c r="B1811" t="s">
        <v>5</v>
      </c>
      <c r="C1811" s="3">
        <v>43435</v>
      </c>
      <c r="D1811">
        <v>471.44</v>
      </c>
    </row>
    <row r="1812" spans="1:4" x14ac:dyDescent="0.25">
      <c r="A1812" t="s">
        <v>20</v>
      </c>
      <c r="B1812" t="s">
        <v>5</v>
      </c>
      <c r="C1812" s="3">
        <v>43466</v>
      </c>
      <c r="D1812">
        <v>467.65</v>
      </c>
    </row>
    <row r="1813" spans="1:4" x14ac:dyDescent="0.25">
      <c r="A1813" t="s">
        <v>20</v>
      </c>
      <c r="B1813" t="s">
        <v>5</v>
      </c>
      <c r="C1813" s="3">
        <v>43497</v>
      </c>
      <c r="D1813">
        <v>482.4</v>
      </c>
    </row>
    <row r="1814" spans="1:4" x14ac:dyDescent="0.25">
      <c r="A1814" t="s">
        <v>20</v>
      </c>
      <c r="B1814" t="s">
        <v>5</v>
      </c>
      <c r="C1814" s="3">
        <v>43525</v>
      </c>
      <c r="D1814">
        <v>509.11</v>
      </c>
    </row>
    <row r="1815" spans="1:4" x14ac:dyDescent="0.25">
      <c r="A1815" t="s">
        <v>20</v>
      </c>
      <c r="B1815" t="s">
        <v>5</v>
      </c>
      <c r="C1815" s="3">
        <v>43556</v>
      </c>
      <c r="D1815">
        <v>522.04999999999995</v>
      </c>
    </row>
    <row r="1816" spans="1:4" x14ac:dyDescent="0.25">
      <c r="A1816" t="s">
        <v>20</v>
      </c>
      <c r="B1816" t="s">
        <v>5</v>
      </c>
      <c r="C1816" s="3">
        <v>43586</v>
      </c>
      <c r="D1816">
        <v>507.07</v>
      </c>
    </row>
    <row r="1817" spans="1:4" x14ac:dyDescent="0.25">
      <c r="A1817" t="s">
        <v>20</v>
      </c>
      <c r="B1817" t="s">
        <v>5</v>
      </c>
      <c r="C1817" s="3">
        <v>43617</v>
      </c>
      <c r="D1817">
        <v>501.68</v>
      </c>
    </row>
    <row r="1818" spans="1:4" x14ac:dyDescent="0.25">
      <c r="A1818" t="s">
        <v>20</v>
      </c>
      <c r="B1818" t="s">
        <v>5</v>
      </c>
      <c r="C1818" s="3">
        <v>43647</v>
      </c>
      <c r="D1818">
        <v>493.16</v>
      </c>
    </row>
    <row r="1819" spans="1:4" x14ac:dyDescent="0.25">
      <c r="A1819" t="s">
        <v>20</v>
      </c>
      <c r="B1819" t="s">
        <v>5</v>
      </c>
      <c r="C1819" s="3">
        <v>43678</v>
      </c>
      <c r="D1819">
        <v>481.44</v>
      </c>
    </row>
    <row r="1820" spans="1:4" x14ac:dyDescent="0.25">
      <c r="A1820" t="s">
        <v>20</v>
      </c>
      <c r="B1820" t="s">
        <v>5</v>
      </c>
      <c r="C1820" s="3">
        <v>43709</v>
      </c>
      <c r="D1820">
        <v>473.85</v>
      </c>
    </row>
    <row r="1821" spans="1:4" x14ac:dyDescent="0.25">
      <c r="A1821" t="s">
        <v>20</v>
      </c>
      <c r="B1821" t="s">
        <v>5</v>
      </c>
      <c r="C1821" s="3">
        <v>43739</v>
      </c>
      <c r="D1821">
        <v>473.59</v>
      </c>
    </row>
    <row r="1822" spans="1:4" x14ac:dyDescent="0.25">
      <c r="A1822" t="s">
        <v>20</v>
      </c>
      <c r="B1822" t="s">
        <v>5</v>
      </c>
      <c r="C1822" s="3">
        <v>43770</v>
      </c>
      <c r="D1822">
        <v>465.81</v>
      </c>
    </row>
    <row r="1823" spans="1:4" x14ac:dyDescent="0.25">
      <c r="A1823" t="s">
        <v>20</v>
      </c>
      <c r="B1823" t="s">
        <v>5</v>
      </c>
      <c r="C1823" s="3">
        <v>43800</v>
      </c>
      <c r="D1823">
        <v>506.5</v>
      </c>
    </row>
    <row r="1824" spans="1:4" x14ac:dyDescent="0.25">
      <c r="A1824" t="s">
        <v>20</v>
      </c>
      <c r="B1824" t="s">
        <v>5</v>
      </c>
      <c r="C1824" s="3">
        <v>43831</v>
      </c>
      <c r="D1824">
        <v>517.51</v>
      </c>
    </row>
    <row r="1825" spans="1:4" x14ac:dyDescent="0.25">
      <c r="A1825" t="s">
        <v>20</v>
      </c>
      <c r="B1825" t="s">
        <v>5</v>
      </c>
      <c r="C1825" s="3">
        <v>43862</v>
      </c>
      <c r="D1825">
        <v>519.76</v>
      </c>
    </row>
    <row r="1826" spans="1:4" x14ac:dyDescent="0.25">
      <c r="A1826" t="s">
        <v>20</v>
      </c>
      <c r="B1826" t="s">
        <v>5</v>
      </c>
      <c r="C1826" s="3">
        <v>43891</v>
      </c>
      <c r="D1826">
        <v>518.5</v>
      </c>
    </row>
    <row r="1827" spans="1:4" x14ac:dyDescent="0.25">
      <c r="A1827" t="s">
        <v>20</v>
      </c>
      <c r="B1827" t="s">
        <v>5</v>
      </c>
      <c r="C1827" s="3">
        <v>43922</v>
      </c>
      <c r="D1827">
        <v>556.25</v>
      </c>
    </row>
    <row r="1828" spans="1:4" x14ac:dyDescent="0.25">
      <c r="A1828" t="s">
        <v>20</v>
      </c>
      <c r="B1828" t="s">
        <v>5</v>
      </c>
      <c r="C1828" s="3">
        <v>43952</v>
      </c>
      <c r="D1828">
        <v>556.36</v>
      </c>
    </row>
    <row r="1829" spans="1:4" x14ac:dyDescent="0.25">
      <c r="A1829" t="s">
        <v>20</v>
      </c>
      <c r="B1829" t="s">
        <v>5</v>
      </c>
      <c r="C1829" s="3">
        <v>43983</v>
      </c>
      <c r="D1829">
        <v>547.03</v>
      </c>
    </row>
    <row r="1830" spans="1:4" x14ac:dyDescent="0.25">
      <c r="A1830" t="s">
        <v>20</v>
      </c>
      <c r="B1830" t="s">
        <v>5</v>
      </c>
      <c r="C1830" s="3">
        <v>44013</v>
      </c>
      <c r="D1830">
        <v>524.74</v>
      </c>
    </row>
    <row r="1831" spans="1:4" x14ac:dyDescent="0.25">
      <c r="A1831" t="s">
        <v>20</v>
      </c>
      <c r="B1831" t="s">
        <v>5</v>
      </c>
      <c r="C1831" s="3">
        <v>44044</v>
      </c>
      <c r="D1831">
        <v>539.95000000000005</v>
      </c>
    </row>
    <row r="1832" spans="1:4" x14ac:dyDescent="0.25">
      <c r="A1832" t="s">
        <v>20</v>
      </c>
      <c r="B1832" t="s">
        <v>5</v>
      </c>
      <c r="C1832" s="3">
        <v>44075</v>
      </c>
      <c r="D1832">
        <v>563.35</v>
      </c>
    </row>
    <row r="1833" spans="1:4" x14ac:dyDescent="0.25">
      <c r="A1833" t="s">
        <v>20</v>
      </c>
      <c r="B1833" t="s">
        <v>5</v>
      </c>
      <c r="C1833" s="3">
        <v>44105</v>
      </c>
      <c r="D1833">
        <v>595.87</v>
      </c>
    </row>
    <row r="1834" spans="1:4" x14ac:dyDescent="0.25">
      <c r="A1834" t="s">
        <v>20</v>
      </c>
      <c r="B1834" t="s">
        <v>5</v>
      </c>
      <c r="C1834" s="3">
        <v>44136</v>
      </c>
      <c r="D1834">
        <v>629.17999999999995</v>
      </c>
    </row>
    <row r="1835" spans="1:4" x14ac:dyDescent="0.25">
      <c r="A1835" t="s">
        <v>20</v>
      </c>
      <c r="B1835" t="s">
        <v>5</v>
      </c>
      <c r="C1835" s="3">
        <v>44166</v>
      </c>
      <c r="D1835">
        <v>631.46</v>
      </c>
    </row>
    <row r="1836" spans="1:4" x14ac:dyDescent="0.25">
      <c r="A1836" t="s">
        <v>20</v>
      </c>
      <c r="B1836" t="s">
        <v>5</v>
      </c>
      <c r="C1836" s="3">
        <v>44197</v>
      </c>
      <c r="D1836">
        <v>654.15</v>
      </c>
    </row>
    <row r="1837" spans="1:4" x14ac:dyDescent="0.25">
      <c r="A1837" t="s">
        <v>20</v>
      </c>
      <c r="B1837" t="s">
        <v>5</v>
      </c>
      <c r="C1837" s="3">
        <v>44228</v>
      </c>
      <c r="D1837">
        <v>639.47</v>
      </c>
    </row>
    <row r="1838" spans="1:4" x14ac:dyDescent="0.25">
      <c r="A1838" t="s">
        <v>20</v>
      </c>
      <c r="B1838" t="s">
        <v>5</v>
      </c>
      <c r="C1838" s="3">
        <v>44256</v>
      </c>
      <c r="D1838">
        <v>626</v>
      </c>
    </row>
    <row r="1839" spans="1:4" x14ac:dyDescent="0.25">
      <c r="A1839" t="s">
        <v>20</v>
      </c>
      <c r="B1839" t="s">
        <v>5</v>
      </c>
      <c r="C1839" s="3">
        <v>44287</v>
      </c>
      <c r="D1839">
        <v>632.61</v>
      </c>
    </row>
    <row r="1840" spans="1:4" x14ac:dyDescent="0.25">
      <c r="A1840" t="s">
        <v>20</v>
      </c>
      <c r="B1840" t="s">
        <v>5</v>
      </c>
      <c r="C1840" s="3">
        <v>44317</v>
      </c>
      <c r="D1840">
        <v>636.4</v>
      </c>
    </row>
    <row r="1841" spans="1:4" x14ac:dyDescent="0.25">
      <c r="A1841" t="s">
        <v>20</v>
      </c>
      <c r="B1841" t="s">
        <v>5</v>
      </c>
      <c r="C1841" s="3">
        <v>44348</v>
      </c>
      <c r="D1841">
        <v>626.76</v>
      </c>
    </row>
    <row r="1842" spans="1:4" x14ac:dyDescent="0.25">
      <c r="A1842" t="s">
        <v>20</v>
      </c>
      <c r="B1842" t="s">
        <v>5</v>
      </c>
      <c r="C1842" s="3">
        <v>44378</v>
      </c>
      <c r="D1842">
        <v>640.51</v>
      </c>
    </row>
    <row r="1843" spans="1:4" x14ac:dyDescent="0.25">
      <c r="A1843" t="s">
        <v>20</v>
      </c>
      <c r="B1843" t="s">
        <v>5</v>
      </c>
      <c r="C1843" s="3">
        <v>44409</v>
      </c>
      <c r="D1843">
        <v>650.5</v>
      </c>
    </row>
    <row r="1844" spans="1:4" x14ac:dyDescent="0.25">
      <c r="A1844" t="s">
        <v>20</v>
      </c>
      <c r="B1844" t="s">
        <v>5</v>
      </c>
      <c r="C1844" s="3">
        <v>44440</v>
      </c>
      <c r="D1844">
        <v>673.45</v>
      </c>
    </row>
    <row r="1845" spans="1:4" x14ac:dyDescent="0.25">
      <c r="A1845" t="s">
        <v>20</v>
      </c>
      <c r="B1845" t="s">
        <v>5</v>
      </c>
      <c r="C1845" s="3">
        <v>44470</v>
      </c>
      <c r="D1845">
        <v>693.79</v>
      </c>
    </row>
    <row r="1846" spans="1:4" x14ac:dyDescent="0.25">
      <c r="A1846" t="s">
        <v>20</v>
      </c>
      <c r="B1846" t="s">
        <v>5</v>
      </c>
      <c r="C1846" s="3">
        <v>44501</v>
      </c>
      <c r="D1846">
        <v>692.27</v>
      </c>
    </row>
    <row r="1847" spans="1:4" x14ac:dyDescent="0.25">
      <c r="A1847" t="s">
        <v>20</v>
      </c>
      <c r="B1847" t="s">
        <v>5</v>
      </c>
      <c r="C1847" s="3">
        <v>44531</v>
      </c>
      <c r="D1847">
        <v>690.51</v>
      </c>
    </row>
    <row r="1848" spans="1:4" x14ac:dyDescent="0.25">
      <c r="A1848" t="s">
        <v>20</v>
      </c>
      <c r="B1848" t="s">
        <v>5</v>
      </c>
      <c r="C1848" s="3">
        <v>44562</v>
      </c>
      <c r="D1848">
        <v>713.86</v>
      </c>
    </row>
    <row r="1849" spans="1:4" x14ac:dyDescent="0.25">
      <c r="A1849" t="s">
        <v>20</v>
      </c>
      <c r="B1849" t="s">
        <v>5</v>
      </c>
      <c r="C1849" s="3">
        <v>44593</v>
      </c>
      <c r="D1849">
        <v>715.65</v>
      </c>
    </row>
    <row r="1850" spans="1:4" x14ac:dyDescent="0.25">
      <c r="A1850" t="s">
        <v>20</v>
      </c>
      <c r="B1850" t="s">
        <v>5</v>
      </c>
      <c r="C1850" s="3">
        <v>44621</v>
      </c>
      <c r="D1850">
        <v>761.19</v>
      </c>
    </row>
    <row r="1851" spans="1:4" x14ac:dyDescent="0.25">
      <c r="A1851" t="s">
        <v>20</v>
      </c>
      <c r="B1851" t="s">
        <v>5</v>
      </c>
      <c r="C1851" s="3">
        <v>44652</v>
      </c>
      <c r="D1851">
        <v>803.99</v>
      </c>
    </row>
    <row r="1852" spans="1:4" x14ac:dyDescent="0.25">
      <c r="A1852" t="s">
        <v>20</v>
      </c>
      <c r="B1852" t="s">
        <v>5</v>
      </c>
      <c r="C1852" s="3">
        <v>44682</v>
      </c>
      <c r="D1852">
        <v>777.93</v>
      </c>
    </row>
    <row r="1853" spans="1:4" x14ac:dyDescent="0.25">
      <c r="A1853" t="s">
        <v>20</v>
      </c>
      <c r="B1853" t="s">
        <v>5</v>
      </c>
      <c r="C1853" s="3">
        <v>44713</v>
      </c>
      <c r="D1853">
        <v>777.01</v>
      </c>
    </row>
    <row r="1854" spans="1:4" x14ac:dyDescent="0.25">
      <c r="A1854" t="s">
        <v>20</v>
      </c>
      <c r="B1854" t="s">
        <v>5</v>
      </c>
      <c r="C1854" s="3">
        <v>44743</v>
      </c>
      <c r="D1854">
        <v>760.45</v>
      </c>
    </row>
    <row r="1855" spans="1:4" x14ac:dyDescent="0.25">
      <c r="A1855" t="s">
        <v>20</v>
      </c>
      <c r="B1855" t="s">
        <v>5</v>
      </c>
      <c r="C1855" s="3">
        <v>44774</v>
      </c>
      <c r="D1855">
        <v>749.78</v>
      </c>
    </row>
    <row r="1856" spans="1:4" x14ac:dyDescent="0.25">
      <c r="A1856" t="s">
        <v>20</v>
      </c>
      <c r="B1856" t="s">
        <v>5</v>
      </c>
      <c r="C1856" s="3">
        <v>44805</v>
      </c>
      <c r="D1856">
        <v>750.74</v>
      </c>
    </row>
    <row r="1857" spans="1:4" x14ac:dyDescent="0.25">
      <c r="A1857" t="s">
        <v>20</v>
      </c>
      <c r="B1857" t="s">
        <v>5</v>
      </c>
      <c r="C1857" s="3">
        <v>44835</v>
      </c>
      <c r="D1857">
        <v>762.2</v>
      </c>
    </row>
    <row r="1858" spans="1:4" x14ac:dyDescent="0.25">
      <c r="A1858" t="s">
        <v>20</v>
      </c>
      <c r="B1858" t="s">
        <v>5</v>
      </c>
      <c r="C1858" s="3">
        <v>44866</v>
      </c>
      <c r="D1858">
        <v>782.68</v>
      </c>
    </row>
    <row r="1859" spans="1:4" x14ac:dyDescent="0.25">
      <c r="A1859" t="s">
        <v>20</v>
      </c>
      <c r="B1859" t="s">
        <v>5</v>
      </c>
      <c r="C1859" s="3">
        <v>44896</v>
      </c>
      <c r="D1859">
        <v>791.29</v>
      </c>
    </row>
    <row r="1860" spans="1:4" x14ac:dyDescent="0.25">
      <c r="A1860" t="s">
        <v>20</v>
      </c>
      <c r="B1860" t="s">
        <v>5</v>
      </c>
      <c r="C1860" s="3">
        <v>44927</v>
      </c>
      <c r="D1860">
        <v>790.57</v>
      </c>
    </row>
    <row r="1861" spans="1:4" x14ac:dyDescent="0.25">
      <c r="A1861" t="s">
        <v>20</v>
      </c>
      <c r="B1861" t="s">
        <v>5</v>
      </c>
      <c r="C1861" s="3">
        <v>44958</v>
      </c>
      <c r="D1861">
        <v>779.38</v>
      </c>
    </row>
    <row r="1862" spans="1:4" x14ac:dyDescent="0.25">
      <c r="A1862" t="s">
        <v>20</v>
      </c>
      <c r="B1862" t="s">
        <v>5</v>
      </c>
      <c r="C1862" s="3">
        <v>44986</v>
      </c>
      <c r="D1862">
        <v>782.23</v>
      </c>
    </row>
    <row r="1863" spans="1:4" x14ac:dyDescent="0.25">
      <c r="A1863" t="s">
        <v>20</v>
      </c>
      <c r="B1863" t="s">
        <v>5</v>
      </c>
      <c r="C1863" s="3">
        <v>45017</v>
      </c>
      <c r="D1863">
        <v>794.68</v>
      </c>
    </row>
    <row r="1864" spans="1:4" x14ac:dyDescent="0.25">
      <c r="A1864" t="s">
        <v>20</v>
      </c>
      <c r="B1864" t="s">
        <v>5</v>
      </c>
      <c r="C1864" s="3">
        <v>45047</v>
      </c>
      <c r="D1864">
        <v>791.82</v>
      </c>
    </row>
    <row r="1865" spans="1:4" x14ac:dyDescent="0.25">
      <c r="A1865" t="s">
        <v>20</v>
      </c>
      <c r="B1865" t="s">
        <v>5</v>
      </c>
      <c r="C1865" s="3">
        <v>45078</v>
      </c>
      <c r="D1865">
        <v>783.05</v>
      </c>
    </row>
    <row r="1866" spans="1:4" x14ac:dyDescent="0.25">
      <c r="A1866" t="s">
        <v>20</v>
      </c>
      <c r="B1866" t="s">
        <v>5</v>
      </c>
      <c r="C1866" s="3">
        <v>45108</v>
      </c>
      <c r="D1866">
        <v>769.95</v>
      </c>
    </row>
    <row r="1867" spans="1:4" x14ac:dyDescent="0.25">
      <c r="A1867" t="s">
        <v>20</v>
      </c>
      <c r="B1867" t="s">
        <v>5</v>
      </c>
      <c r="C1867" s="3">
        <v>45139</v>
      </c>
      <c r="D1867">
        <v>748.47</v>
      </c>
    </row>
    <row r="1868" spans="1:4" x14ac:dyDescent="0.25">
      <c r="A1868" t="s">
        <v>20</v>
      </c>
      <c r="B1868" t="s">
        <v>5</v>
      </c>
      <c r="C1868" s="3">
        <v>45170</v>
      </c>
      <c r="D1868">
        <v>734.77</v>
      </c>
    </row>
    <row r="1869" spans="1:4" x14ac:dyDescent="0.25">
      <c r="A1869" t="s">
        <v>20</v>
      </c>
      <c r="B1869" t="s">
        <v>5</v>
      </c>
      <c r="C1869" s="3">
        <v>45200</v>
      </c>
      <c r="D1869">
        <v>738.13</v>
      </c>
    </row>
    <row r="1870" spans="1:4" x14ac:dyDescent="0.25">
      <c r="A1870" t="s">
        <v>20</v>
      </c>
      <c r="B1870" t="s">
        <v>5</v>
      </c>
      <c r="C1870" s="3">
        <v>45231</v>
      </c>
      <c r="D1870">
        <v>749.28</v>
      </c>
    </row>
    <row r="1871" spans="1:4" x14ac:dyDescent="0.25">
      <c r="A1871" t="s">
        <v>20</v>
      </c>
      <c r="B1871" t="s">
        <v>5</v>
      </c>
      <c r="C1871" s="3">
        <v>45261</v>
      </c>
      <c r="D1871">
        <v>761.01</v>
      </c>
    </row>
    <row r="1872" spans="1:4" x14ac:dyDescent="0.25">
      <c r="A1872" t="s">
        <v>20</v>
      </c>
      <c r="B1872" t="s">
        <v>5</v>
      </c>
      <c r="C1872" s="3">
        <v>45292</v>
      </c>
      <c r="D1872">
        <v>793.39</v>
      </c>
    </row>
    <row r="1873" spans="1:4" x14ac:dyDescent="0.25">
      <c r="A1873" t="s">
        <v>20</v>
      </c>
      <c r="B1873" t="s">
        <v>5</v>
      </c>
      <c r="C1873" s="3">
        <v>45323</v>
      </c>
      <c r="D1873">
        <v>808.38</v>
      </c>
    </row>
    <row r="1874" spans="1:4" x14ac:dyDescent="0.25">
      <c r="A1874" t="s">
        <v>20</v>
      </c>
      <c r="B1874" t="s">
        <v>5</v>
      </c>
      <c r="C1874" s="3">
        <v>45352</v>
      </c>
      <c r="D1874">
        <v>813.26</v>
      </c>
    </row>
    <row r="1875" spans="1:4" x14ac:dyDescent="0.25">
      <c r="A1875" t="s">
        <v>20</v>
      </c>
      <c r="B1875" t="s">
        <v>5</v>
      </c>
      <c r="C1875" s="3">
        <v>45383</v>
      </c>
      <c r="D1875">
        <v>822.84</v>
      </c>
    </row>
    <row r="1876" spans="1:4" x14ac:dyDescent="0.25">
      <c r="A1876" t="s">
        <v>20</v>
      </c>
      <c r="B1876" t="s">
        <v>5</v>
      </c>
      <c r="C1876" s="3">
        <v>45413</v>
      </c>
      <c r="D1876">
        <v>826.85</v>
      </c>
    </row>
    <row r="1877" spans="1:4" x14ac:dyDescent="0.25">
      <c r="A1877" t="s">
        <v>20</v>
      </c>
      <c r="B1877" t="s">
        <v>5</v>
      </c>
      <c r="C1877" s="3">
        <v>45444</v>
      </c>
      <c r="D1877">
        <v>832.69</v>
      </c>
    </row>
    <row r="1878" spans="1:4" x14ac:dyDescent="0.25">
      <c r="A1878" t="s">
        <v>20</v>
      </c>
      <c r="B1878" t="s">
        <v>5</v>
      </c>
      <c r="C1878" s="3">
        <v>45474</v>
      </c>
      <c r="D1878">
        <v>809.77</v>
      </c>
    </row>
    <row r="1879" spans="1:4" x14ac:dyDescent="0.25">
      <c r="A1879" t="s">
        <v>20</v>
      </c>
      <c r="B1879" t="s">
        <v>5</v>
      </c>
      <c r="C1879" s="3">
        <v>45505</v>
      </c>
      <c r="D1879">
        <v>786.35</v>
      </c>
    </row>
    <row r="1880" spans="1:4" x14ac:dyDescent="0.25">
      <c r="A1880" t="s">
        <v>20</v>
      </c>
      <c r="B1880" t="s">
        <v>5</v>
      </c>
      <c r="C1880" s="3">
        <v>45536</v>
      </c>
      <c r="D1880">
        <v>792.47</v>
      </c>
    </row>
    <row r="1881" spans="1:4" x14ac:dyDescent="0.25">
      <c r="A1881" t="s">
        <v>20</v>
      </c>
      <c r="B1881" t="s">
        <v>5</v>
      </c>
      <c r="C1881" s="3">
        <v>45566</v>
      </c>
      <c r="D1881">
        <v>805.84</v>
      </c>
    </row>
    <row r="1882" spans="1:4" x14ac:dyDescent="0.25">
      <c r="A1882" t="s">
        <v>20</v>
      </c>
      <c r="B1882" t="s">
        <v>5</v>
      </c>
      <c r="C1882" s="3">
        <v>45597</v>
      </c>
      <c r="D1882">
        <v>828.39</v>
      </c>
    </row>
    <row r="1883" spans="1:4" x14ac:dyDescent="0.25">
      <c r="A1883" t="s">
        <v>20</v>
      </c>
      <c r="B1883" t="s">
        <v>5</v>
      </c>
      <c r="C1883" s="3">
        <v>45627</v>
      </c>
      <c r="D1883">
        <v>841.29</v>
      </c>
    </row>
    <row r="1884" spans="1:4" x14ac:dyDescent="0.25">
      <c r="A1884" t="s">
        <v>20</v>
      </c>
      <c r="B1884" t="s">
        <v>5</v>
      </c>
      <c r="C1884" s="3">
        <v>45658</v>
      </c>
      <c r="D1884">
        <v>851.82</v>
      </c>
    </row>
    <row r="1885" spans="1:4" x14ac:dyDescent="0.25">
      <c r="A1885" t="s">
        <v>20</v>
      </c>
      <c r="B1885" t="s">
        <v>5</v>
      </c>
      <c r="C1885" s="3">
        <v>45689</v>
      </c>
      <c r="D1885">
        <v>860.53</v>
      </c>
    </row>
    <row r="1886" spans="1:4" x14ac:dyDescent="0.25">
      <c r="A1886" t="s">
        <v>20</v>
      </c>
      <c r="B1886" t="s">
        <v>5</v>
      </c>
      <c r="C1886" s="3">
        <v>45717</v>
      </c>
      <c r="D1886">
        <v>880.72</v>
      </c>
    </row>
    <row r="1887" spans="1:4" x14ac:dyDescent="0.25">
      <c r="A1887" t="s">
        <v>20</v>
      </c>
      <c r="B1887" t="s">
        <v>5</v>
      </c>
      <c r="C1887" s="3">
        <v>45748</v>
      </c>
      <c r="D1887">
        <v>909.25</v>
      </c>
    </row>
    <row r="1888" spans="1:4" x14ac:dyDescent="0.25">
      <c r="A1888" t="s">
        <v>20</v>
      </c>
      <c r="B1888" t="s">
        <v>5</v>
      </c>
      <c r="C1888" s="3">
        <v>45778</v>
      </c>
      <c r="D1888">
        <v>896.15</v>
      </c>
    </row>
    <row r="1889" spans="1:4" x14ac:dyDescent="0.25">
      <c r="A1889" t="s">
        <v>20</v>
      </c>
      <c r="B1889" t="s">
        <v>5</v>
      </c>
      <c r="C1889" s="3">
        <v>45809</v>
      </c>
      <c r="D1889">
        <v>882.76</v>
      </c>
    </row>
    <row r="1890" spans="1:4" x14ac:dyDescent="0.25">
      <c r="A1890" t="s">
        <v>21</v>
      </c>
      <c r="B1890" t="s">
        <v>5</v>
      </c>
      <c r="C1890" s="3">
        <v>42005</v>
      </c>
      <c r="D1890">
        <v>348.3</v>
      </c>
    </row>
    <row r="1891" spans="1:4" x14ac:dyDescent="0.25">
      <c r="A1891" t="s">
        <v>21</v>
      </c>
      <c r="B1891" t="s">
        <v>5</v>
      </c>
      <c r="C1891" s="3">
        <v>42036</v>
      </c>
      <c r="D1891">
        <v>354.85</v>
      </c>
    </row>
    <row r="1892" spans="1:4" x14ac:dyDescent="0.25">
      <c r="A1892" t="s">
        <v>21</v>
      </c>
      <c r="B1892" t="s">
        <v>5</v>
      </c>
      <c r="C1892" s="3">
        <v>42064</v>
      </c>
      <c r="D1892">
        <v>363.62</v>
      </c>
    </row>
    <row r="1893" spans="1:4" x14ac:dyDescent="0.25">
      <c r="A1893" t="s">
        <v>21</v>
      </c>
      <c r="B1893" t="s">
        <v>5</v>
      </c>
      <c r="C1893" s="3">
        <v>42095</v>
      </c>
      <c r="D1893">
        <v>376.46</v>
      </c>
    </row>
    <row r="1894" spans="1:4" x14ac:dyDescent="0.25">
      <c r="A1894" t="s">
        <v>21</v>
      </c>
      <c r="B1894" t="s">
        <v>5</v>
      </c>
      <c r="C1894" s="3">
        <v>42125</v>
      </c>
      <c r="D1894">
        <v>387.92</v>
      </c>
    </row>
    <row r="1895" spans="1:4" x14ac:dyDescent="0.25">
      <c r="A1895" t="s">
        <v>21</v>
      </c>
      <c r="B1895" t="s">
        <v>5</v>
      </c>
      <c r="C1895" s="3">
        <v>42156</v>
      </c>
      <c r="D1895">
        <v>367.94</v>
      </c>
    </row>
    <row r="1896" spans="1:4" x14ac:dyDescent="0.25">
      <c r="A1896" t="s">
        <v>21</v>
      </c>
      <c r="B1896" t="s">
        <v>5</v>
      </c>
      <c r="C1896" s="3">
        <v>42186</v>
      </c>
      <c r="D1896">
        <v>368.01</v>
      </c>
    </row>
    <row r="1897" spans="1:4" x14ac:dyDescent="0.25">
      <c r="A1897" t="s">
        <v>21</v>
      </c>
      <c r="B1897" t="s">
        <v>5</v>
      </c>
      <c r="C1897" s="3">
        <v>42217</v>
      </c>
      <c r="D1897">
        <v>358</v>
      </c>
    </row>
    <row r="1898" spans="1:4" x14ac:dyDescent="0.25">
      <c r="A1898" t="s">
        <v>21</v>
      </c>
      <c r="B1898" t="s">
        <v>5</v>
      </c>
      <c r="C1898" s="3">
        <v>42248</v>
      </c>
      <c r="D1898">
        <v>361.54</v>
      </c>
    </row>
    <row r="1899" spans="1:4" x14ac:dyDescent="0.25">
      <c r="A1899" t="s">
        <v>21</v>
      </c>
      <c r="B1899" t="s">
        <v>5</v>
      </c>
      <c r="C1899" s="3">
        <v>42278</v>
      </c>
      <c r="D1899">
        <v>357.3</v>
      </c>
    </row>
    <row r="1900" spans="1:4" x14ac:dyDescent="0.25">
      <c r="A1900" t="s">
        <v>21</v>
      </c>
      <c r="B1900" t="s">
        <v>5</v>
      </c>
      <c r="C1900" s="3">
        <v>42309</v>
      </c>
      <c r="D1900">
        <v>378.91</v>
      </c>
    </row>
    <row r="1901" spans="1:4" x14ac:dyDescent="0.25">
      <c r="A1901" t="s">
        <v>21</v>
      </c>
      <c r="B1901" t="s">
        <v>5</v>
      </c>
      <c r="C1901" s="3">
        <v>42339</v>
      </c>
      <c r="D1901">
        <v>384.99</v>
      </c>
    </row>
    <row r="1902" spans="1:4" x14ac:dyDescent="0.25">
      <c r="A1902" t="s">
        <v>21</v>
      </c>
      <c r="B1902" t="s">
        <v>5</v>
      </c>
      <c r="C1902" s="3">
        <v>42370</v>
      </c>
      <c r="D1902">
        <v>438.42</v>
      </c>
    </row>
    <row r="1903" spans="1:4" x14ac:dyDescent="0.25">
      <c r="A1903" t="s">
        <v>21</v>
      </c>
      <c r="B1903" t="s">
        <v>5</v>
      </c>
      <c r="C1903" s="3">
        <v>42401</v>
      </c>
      <c r="D1903">
        <v>401.38</v>
      </c>
    </row>
    <row r="1904" spans="1:4" x14ac:dyDescent="0.25">
      <c r="A1904" t="s">
        <v>21</v>
      </c>
      <c r="B1904" t="s">
        <v>5</v>
      </c>
      <c r="C1904" s="3">
        <v>42430</v>
      </c>
      <c r="D1904">
        <v>418.18</v>
      </c>
    </row>
    <row r="1905" spans="1:4" x14ac:dyDescent="0.25">
      <c r="A1905" t="s">
        <v>21</v>
      </c>
      <c r="B1905" t="s">
        <v>5</v>
      </c>
      <c r="C1905" s="3">
        <v>42461</v>
      </c>
      <c r="D1905">
        <v>414.26</v>
      </c>
    </row>
    <row r="1906" spans="1:4" x14ac:dyDescent="0.25">
      <c r="A1906" t="s">
        <v>21</v>
      </c>
      <c r="B1906" t="s">
        <v>5</v>
      </c>
      <c r="C1906" s="3">
        <v>42491</v>
      </c>
      <c r="D1906">
        <v>418.96</v>
      </c>
    </row>
    <row r="1907" spans="1:4" x14ac:dyDescent="0.25">
      <c r="A1907" t="s">
        <v>21</v>
      </c>
      <c r="B1907" t="s">
        <v>5</v>
      </c>
      <c r="C1907" s="3">
        <v>42522</v>
      </c>
      <c r="D1907">
        <v>428.69</v>
      </c>
    </row>
    <row r="1908" spans="1:4" x14ac:dyDescent="0.25">
      <c r="A1908" t="s">
        <v>21</v>
      </c>
      <c r="B1908" t="s">
        <v>5</v>
      </c>
      <c r="C1908" s="3">
        <v>42552</v>
      </c>
      <c r="D1908">
        <v>436.24</v>
      </c>
    </row>
    <row r="1909" spans="1:4" x14ac:dyDescent="0.25">
      <c r="A1909" t="s">
        <v>21</v>
      </c>
      <c r="B1909" t="s">
        <v>5</v>
      </c>
      <c r="C1909" s="3">
        <v>42583</v>
      </c>
      <c r="D1909">
        <v>436.53</v>
      </c>
    </row>
    <row r="1910" spans="1:4" x14ac:dyDescent="0.25">
      <c r="A1910" t="s">
        <v>21</v>
      </c>
      <c r="B1910" t="s">
        <v>5</v>
      </c>
      <c r="C1910" s="3">
        <v>42614</v>
      </c>
      <c r="D1910">
        <v>435.27</v>
      </c>
    </row>
    <row r="1911" spans="1:4" x14ac:dyDescent="0.25">
      <c r="A1911" t="s">
        <v>21</v>
      </c>
      <c r="B1911" t="s">
        <v>5</v>
      </c>
      <c r="C1911" s="3">
        <v>42644</v>
      </c>
      <c r="D1911">
        <v>449.16</v>
      </c>
    </row>
    <row r="1912" spans="1:4" x14ac:dyDescent="0.25">
      <c r="A1912" t="s">
        <v>21</v>
      </c>
      <c r="B1912" t="s">
        <v>5</v>
      </c>
      <c r="C1912" s="3">
        <v>42675</v>
      </c>
      <c r="D1912">
        <v>438.85</v>
      </c>
    </row>
    <row r="1913" spans="1:4" x14ac:dyDescent="0.25">
      <c r="A1913" t="s">
        <v>21</v>
      </c>
      <c r="B1913" t="s">
        <v>5</v>
      </c>
      <c r="C1913" s="3">
        <v>42705</v>
      </c>
      <c r="D1913">
        <v>426.32</v>
      </c>
    </row>
    <row r="1914" spans="1:4" x14ac:dyDescent="0.25">
      <c r="A1914" t="s">
        <v>21</v>
      </c>
      <c r="B1914" t="s">
        <v>5</v>
      </c>
      <c r="C1914" s="3">
        <v>42736</v>
      </c>
      <c r="D1914">
        <v>422.38</v>
      </c>
    </row>
    <row r="1915" spans="1:4" x14ac:dyDescent="0.25">
      <c r="A1915" t="s">
        <v>21</v>
      </c>
      <c r="B1915" t="s">
        <v>5</v>
      </c>
      <c r="C1915" s="3">
        <v>42767</v>
      </c>
      <c r="D1915">
        <v>414.03</v>
      </c>
    </row>
    <row r="1916" spans="1:4" x14ac:dyDescent="0.25">
      <c r="A1916" t="s">
        <v>21</v>
      </c>
      <c r="B1916" t="s">
        <v>5</v>
      </c>
      <c r="C1916" s="3">
        <v>42795</v>
      </c>
      <c r="D1916">
        <v>415.75</v>
      </c>
    </row>
    <row r="1917" spans="1:4" x14ac:dyDescent="0.25">
      <c r="A1917" t="s">
        <v>21</v>
      </c>
      <c r="B1917" t="s">
        <v>5</v>
      </c>
      <c r="C1917" s="3">
        <v>42826</v>
      </c>
      <c r="D1917">
        <v>431.54</v>
      </c>
    </row>
    <row r="1918" spans="1:4" x14ac:dyDescent="0.25">
      <c r="A1918" t="s">
        <v>21</v>
      </c>
      <c r="B1918" t="s">
        <v>5</v>
      </c>
      <c r="C1918" s="3">
        <v>42856</v>
      </c>
      <c r="D1918">
        <v>422.03</v>
      </c>
    </row>
    <row r="1919" spans="1:4" x14ac:dyDescent="0.25">
      <c r="A1919" t="s">
        <v>21</v>
      </c>
      <c r="B1919" t="s">
        <v>5</v>
      </c>
      <c r="C1919" s="3">
        <v>42887</v>
      </c>
      <c r="D1919">
        <v>404.54</v>
      </c>
    </row>
    <row r="1920" spans="1:4" x14ac:dyDescent="0.25">
      <c r="A1920" t="s">
        <v>21</v>
      </c>
      <c r="B1920" t="s">
        <v>5</v>
      </c>
      <c r="C1920" s="3">
        <v>42917</v>
      </c>
      <c r="D1920">
        <v>409.51</v>
      </c>
    </row>
    <row r="1921" spans="1:4" x14ac:dyDescent="0.25">
      <c r="A1921" t="s">
        <v>21</v>
      </c>
      <c r="B1921" t="s">
        <v>5</v>
      </c>
      <c r="C1921" s="3">
        <v>42948</v>
      </c>
      <c r="D1921">
        <v>397.89</v>
      </c>
    </row>
    <row r="1922" spans="1:4" x14ac:dyDescent="0.25">
      <c r="A1922" t="s">
        <v>21</v>
      </c>
      <c r="B1922" t="s">
        <v>5</v>
      </c>
      <c r="C1922" s="3">
        <v>42979</v>
      </c>
      <c r="D1922">
        <v>391.76</v>
      </c>
    </row>
    <row r="1923" spans="1:4" x14ac:dyDescent="0.25">
      <c r="A1923" t="s">
        <v>21</v>
      </c>
      <c r="B1923" t="s">
        <v>5</v>
      </c>
      <c r="C1923" s="3">
        <v>43009</v>
      </c>
      <c r="D1923">
        <v>393.71</v>
      </c>
    </row>
    <row r="1924" spans="1:4" x14ac:dyDescent="0.25">
      <c r="A1924" t="s">
        <v>21</v>
      </c>
      <c r="B1924" t="s">
        <v>5</v>
      </c>
      <c r="C1924" s="3">
        <v>43040</v>
      </c>
      <c r="D1924">
        <v>387.93</v>
      </c>
    </row>
    <row r="1925" spans="1:4" x14ac:dyDescent="0.25">
      <c r="A1925" t="s">
        <v>21</v>
      </c>
      <c r="B1925" t="s">
        <v>5</v>
      </c>
      <c r="C1925" s="3">
        <v>43070</v>
      </c>
      <c r="D1925">
        <v>385.19</v>
      </c>
    </row>
    <row r="1926" spans="1:4" x14ac:dyDescent="0.25">
      <c r="A1926" t="s">
        <v>21</v>
      </c>
      <c r="B1926" t="s">
        <v>5</v>
      </c>
      <c r="C1926" s="3">
        <v>43101</v>
      </c>
      <c r="D1926">
        <v>417.73</v>
      </c>
    </row>
    <row r="1927" spans="1:4" x14ac:dyDescent="0.25">
      <c r="A1927" t="s">
        <v>21</v>
      </c>
      <c r="B1927" t="s">
        <v>5</v>
      </c>
      <c r="C1927" s="3">
        <v>43132</v>
      </c>
      <c r="D1927">
        <v>410.84</v>
      </c>
    </row>
    <row r="1928" spans="1:4" x14ac:dyDescent="0.25">
      <c r="A1928" t="s">
        <v>21</v>
      </c>
      <c r="B1928" t="s">
        <v>5</v>
      </c>
      <c r="C1928" s="3">
        <v>43160</v>
      </c>
      <c r="D1928">
        <v>410.59</v>
      </c>
    </row>
    <row r="1929" spans="1:4" x14ac:dyDescent="0.25">
      <c r="A1929" t="s">
        <v>21</v>
      </c>
      <c r="B1929" t="s">
        <v>5</v>
      </c>
      <c r="C1929" s="3">
        <v>43191</v>
      </c>
      <c r="D1929">
        <v>409.8</v>
      </c>
    </row>
    <row r="1930" spans="1:4" x14ac:dyDescent="0.25">
      <c r="A1930" t="s">
        <v>21</v>
      </c>
      <c r="B1930" t="s">
        <v>5</v>
      </c>
      <c r="C1930" s="3">
        <v>43221</v>
      </c>
      <c r="D1930">
        <v>409.95</v>
      </c>
    </row>
    <row r="1931" spans="1:4" x14ac:dyDescent="0.25">
      <c r="A1931" t="s">
        <v>21</v>
      </c>
      <c r="B1931" t="s">
        <v>5</v>
      </c>
      <c r="C1931" s="3">
        <v>43252</v>
      </c>
      <c r="D1931">
        <v>413.73</v>
      </c>
    </row>
    <row r="1932" spans="1:4" x14ac:dyDescent="0.25">
      <c r="A1932" t="s">
        <v>21</v>
      </c>
      <c r="B1932" t="s">
        <v>5</v>
      </c>
      <c r="C1932" s="3">
        <v>43282</v>
      </c>
      <c r="D1932">
        <v>406.43</v>
      </c>
    </row>
    <row r="1933" spans="1:4" x14ac:dyDescent="0.25">
      <c r="A1933" t="s">
        <v>21</v>
      </c>
      <c r="B1933" t="s">
        <v>5</v>
      </c>
      <c r="C1933" s="3">
        <v>43313</v>
      </c>
      <c r="D1933">
        <v>395.7</v>
      </c>
    </row>
    <row r="1934" spans="1:4" x14ac:dyDescent="0.25">
      <c r="A1934" t="s">
        <v>21</v>
      </c>
      <c r="B1934" t="s">
        <v>5</v>
      </c>
      <c r="C1934" s="3">
        <v>43344</v>
      </c>
      <c r="D1934">
        <v>395.64</v>
      </c>
    </row>
    <row r="1935" spans="1:4" x14ac:dyDescent="0.25">
      <c r="A1935" t="s">
        <v>21</v>
      </c>
      <c r="B1935" t="s">
        <v>5</v>
      </c>
      <c r="C1935" s="3">
        <v>43374</v>
      </c>
      <c r="D1935">
        <v>419.69</v>
      </c>
    </row>
    <row r="1936" spans="1:4" x14ac:dyDescent="0.25">
      <c r="A1936" t="s">
        <v>21</v>
      </c>
      <c r="B1936" t="s">
        <v>5</v>
      </c>
      <c r="C1936" s="3">
        <v>43405</v>
      </c>
      <c r="D1936">
        <v>408.55</v>
      </c>
    </row>
    <row r="1937" spans="1:4" x14ac:dyDescent="0.25">
      <c r="A1937" t="s">
        <v>21</v>
      </c>
      <c r="B1937" t="s">
        <v>5</v>
      </c>
      <c r="C1937" s="3">
        <v>43435</v>
      </c>
      <c r="D1937">
        <v>403.79</v>
      </c>
    </row>
    <row r="1938" spans="1:4" x14ac:dyDescent="0.25">
      <c r="A1938" t="s">
        <v>21</v>
      </c>
      <c r="B1938" t="s">
        <v>5</v>
      </c>
      <c r="C1938" s="3">
        <v>43466</v>
      </c>
      <c r="D1938">
        <v>423.96</v>
      </c>
    </row>
    <row r="1939" spans="1:4" x14ac:dyDescent="0.25">
      <c r="A1939" t="s">
        <v>21</v>
      </c>
      <c r="B1939" t="s">
        <v>5</v>
      </c>
      <c r="C1939" s="3">
        <v>43497</v>
      </c>
      <c r="D1939">
        <v>449.54</v>
      </c>
    </row>
    <row r="1940" spans="1:4" x14ac:dyDescent="0.25">
      <c r="A1940" t="s">
        <v>21</v>
      </c>
      <c r="B1940" t="s">
        <v>5</v>
      </c>
      <c r="C1940" s="3">
        <v>43525</v>
      </c>
      <c r="D1940">
        <v>475.84</v>
      </c>
    </row>
    <row r="1941" spans="1:4" x14ac:dyDescent="0.25">
      <c r="A1941" t="s">
        <v>21</v>
      </c>
      <c r="B1941" t="s">
        <v>5</v>
      </c>
      <c r="C1941" s="3">
        <v>43556</v>
      </c>
      <c r="D1941">
        <v>498.54</v>
      </c>
    </row>
    <row r="1942" spans="1:4" x14ac:dyDescent="0.25">
      <c r="A1942" t="s">
        <v>21</v>
      </c>
      <c r="B1942" t="s">
        <v>5</v>
      </c>
      <c r="C1942" s="3">
        <v>43586</v>
      </c>
      <c r="D1942">
        <v>484.84</v>
      </c>
    </row>
    <row r="1943" spans="1:4" x14ac:dyDescent="0.25">
      <c r="A1943" t="s">
        <v>21</v>
      </c>
      <c r="B1943" t="s">
        <v>5</v>
      </c>
      <c r="C1943" s="3">
        <v>43617</v>
      </c>
      <c r="D1943">
        <v>485.34</v>
      </c>
    </row>
    <row r="1944" spans="1:4" x14ac:dyDescent="0.25">
      <c r="A1944" t="s">
        <v>21</v>
      </c>
      <c r="B1944" t="s">
        <v>5</v>
      </c>
      <c r="C1944" s="3">
        <v>43647</v>
      </c>
      <c r="D1944">
        <v>466.93</v>
      </c>
    </row>
    <row r="1945" spans="1:4" x14ac:dyDescent="0.25">
      <c r="A1945" t="s">
        <v>21</v>
      </c>
      <c r="B1945" t="s">
        <v>5</v>
      </c>
      <c r="C1945" s="3">
        <v>43678</v>
      </c>
      <c r="D1945">
        <v>441.5</v>
      </c>
    </row>
    <row r="1946" spans="1:4" x14ac:dyDescent="0.25">
      <c r="A1946" t="s">
        <v>21</v>
      </c>
      <c r="B1946" t="s">
        <v>5</v>
      </c>
      <c r="C1946" s="3">
        <v>43709</v>
      </c>
      <c r="D1946">
        <v>429.06</v>
      </c>
    </row>
    <row r="1947" spans="1:4" x14ac:dyDescent="0.25">
      <c r="A1947" t="s">
        <v>21</v>
      </c>
      <c r="B1947" t="s">
        <v>5</v>
      </c>
      <c r="C1947" s="3">
        <v>43739</v>
      </c>
      <c r="D1947">
        <v>428.25</v>
      </c>
    </row>
    <row r="1948" spans="1:4" x14ac:dyDescent="0.25">
      <c r="A1948" t="s">
        <v>21</v>
      </c>
      <c r="B1948" t="s">
        <v>5</v>
      </c>
      <c r="C1948" s="3">
        <v>43770</v>
      </c>
      <c r="D1948">
        <v>462.06</v>
      </c>
    </row>
    <row r="1949" spans="1:4" x14ac:dyDescent="0.25">
      <c r="A1949" t="s">
        <v>21</v>
      </c>
      <c r="B1949" t="s">
        <v>5</v>
      </c>
      <c r="C1949" s="3">
        <v>43800</v>
      </c>
      <c r="D1949">
        <v>499.23</v>
      </c>
    </row>
    <row r="1950" spans="1:4" x14ac:dyDescent="0.25">
      <c r="A1950" t="s">
        <v>21</v>
      </c>
      <c r="B1950" t="s">
        <v>5</v>
      </c>
      <c r="C1950" s="3">
        <v>43831</v>
      </c>
      <c r="D1950">
        <v>492.2</v>
      </c>
    </row>
    <row r="1951" spans="1:4" x14ac:dyDescent="0.25">
      <c r="A1951" t="s">
        <v>21</v>
      </c>
      <c r="B1951" t="s">
        <v>5</v>
      </c>
      <c r="C1951" s="3">
        <v>43862</v>
      </c>
      <c r="D1951">
        <v>480.03</v>
      </c>
    </row>
    <row r="1952" spans="1:4" x14ac:dyDescent="0.25">
      <c r="A1952" t="s">
        <v>21</v>
      </c>
      <c r="B1952" t="s">
        <v>5</v>
      </c>
      <c r="C1952" s="3">
        <v>43891</v>
      </c>
      <c r="D1952">
        <v>504.78</v>
      </c>
    </row>
    <row r="1953" spans="1:4" x14ac:dyDescent="0.25">
      <c r="A1953" t="s">
        <v>21</v>
      </c>
      <c r="B1953" t="s">
        <v>5</v>
      </c>
      <c r="C1953" s="3">
        <v>43922</v>
      </c>
      <c r="D1953">
        <v>537.89</v>
      </c>
    </row>
    <row r="1954" spans="1:4" x14ac:dyDescent="0.25">
      <c r="A1954" t="s">
        <v>21</v>
      </c>
      <c r="B1954" t="s">
        <v>5</v>
      </c>
      <c r="C1954" s="3">
        <v>43952</v>
      </c>
      <c r="D1954">
        <v>536.73</v>
      </c>
    </row>
    <row r="1955" spans="1:4" x14ac:dyDescent="0.25">
      <c r="A1955" t="s">
        <v>21</v>
      </c>
      <c r="B1955" t="s">
        <v>5</v>
      </c>
      <c r="C1955" s="3">
        <v>43983</v>
      </c>
      <c r="D1955">
        <v>500.01</v>
      </c>
    </row>
    <row r="1956" spans="1:4" x14ac:dyDescent="0.25">
      <c r="A1956" t="s">
        <v>21</v>
      </c>
      <c r="B1956" t="s">
        <v>5</v>
      </c>
      <c r="C1956" s="3">
        <v>44013</v>
      </c>
      <c r="D1956">
        <v>484.8</v>
      </c>
    </row>
    <row r="1957" spans="1:4" x14ac:dyDescent="0.25">
      <c r="A1957" t="s">
        <v>21</v>
      </c>
      <c r="B1957" t="s">
        <v>5</v>
      </c>
      <c r="C1957" s="3">
        <v>44044</v>
      </c>
      <c r="D1957">
        <v>509.45</v>
      </c>
    </row>
    <row r="1958" spans="1:4" x14ac:dyDescent="0.25">
      <c r="A1958" t="s">
        <v>21</v>
      </c>
      <c r="B1958" t="s">
        <v>5</v>
      </c>
      <c r="C1958" s="3">
        <v>44075</v>
      </c>
      <c r="D1958">
        <v>539.36</v>
      </c>
    </row>
    <row r="1959" spans="1:4" x14ac:dyDescent="0.25">
      <c r="A1959" t="s">
        <v>21</v>
      </c>
      <c r="B1959" t="s">
        <v>5</v>
      </c>
      <c r="C1959" s="3">
        <v>44105</v>
      </c>
      <c r="D1959">
        <v>552.85</v>
      </c>
    </row>
    <row r="1960" spans="1:4" x14ac:dyDescent="0.25">
      <c r="A1960" t="s">
        <v>21</v>
      </c>
      <c r="B1960" t="s">
        <v>5</v>
      </c>
      <c r="C1960" s="3">
        <v>44136</v>
      </c>
      <c r="D1960">
        <v>606.59</v>
      </c>
    </row>
    <row r="1961" spans="1:4" x14ac:dyDescent="0.25">
      <c r="A1961" t="s">
        <v>21</v>
      </c>
      <c r="B1961" t="s">
        <v>5</v>
      </c>
      <c r="C1961" s="3">
        <v>44166</v>
      </c>
      <c r="D1961">
        <v>600.28</v>
      </c>
    </row>
    <row r="1962" spans="1:4" x14ac:dyDescent="0.25">
      <c r="A1962" t="s">
        <v>21</v>
      </c>
      <c r="B1962" t="s">
        <v>5</v>
      </c>
      <c r="C1962" s="3">
        <v>44197</v>
      </c>
      <c r="D1962">
        <v>624.62</v>
      </c>
    </row>
    <row r="1963" spans="1:4" x14ac:dyDescent="0.25">
      <c r="A1963" t="s">
        <v>21</v>
      </c>
      <c r="B1963" t="s">
        <v>5</v>
      </c>
      <c r="C1963" s="3">
        <v>44228</v>
      </c>
      <c r="D1963">
        <v>609.27</v>
      </c>
    </row>
    <row r="1964" spans="1:4" x14ac:dyDescent="0.25">
      <c r="A1964" t="s">
        <v>21</v>
      </c>
      <c r="B1964" t="s">
        <v>5</v>
      </c>
      <c r="C1964" s="3">
        <v>44256</v>
      </c>
      <c r="D1964">
        <v>596.91</v>
      </c>
    </row>
    <row r="1965" spans="1:4" x14ac:dyDescent="0.25">
      <c r="A1965" t="s">
        <v>21</v>
      </c>
      <c r="B1965" t="s">
        <v>5</v>
      </c>
      <c r="C1965" s="3">
        <v>44287</v>
      </c>
      <c r="D1965">
        <v>610.98</v>
      </c>
    </row>
    <row r="1966" spans="1:4" x14ac:dyDescent="0.25">
      <c r="A1966" t="s">
        <v>21</v>
      </c>
      <c r="B1966" t="s">
        <v>5</v>
      </c>
      <c r="C1966" s="3">
        <v>44317</v>
      </c>
      <c r="D1966">
        <v>616.96</v>
      </c>
    </row>
    <row r="1967" spans="1:4" x14ac:dyDescent="0.25">
      <c r="A1967" t="s">
        <v>21</v>
      </c>
      <c r="B1967" t="s">
        <v>5</v>
      </c>
      <c r="C1967" s="3">
        <v>44348</v>
      </c>
      <c r="D1967">
        <v>611.29</v>
      </c>
    </row>
    <row r="1968" spans="1:4" x14ac:dyDescent="0.25">
      <c r="A1968" t="s">
        <v>21</v>
      </c>
      <c r="B1968" t="s">
        <v>5</v>
      </c>
      <c r="C1968" s="3">
        <v>44378</v>
      </c>
      <c r="D1968">
        <v>612.45000000000005</v>
      </c>
    </row>
    <row r="1969" spans="1:4" x14ac:dyDescent="0.25">
      <c r="A1969" t="s">
        <v>21</v>
      </c>
      <c r="B1969" t="s">
        <v>5</v>
      </c>
      <c r="C1969" s="3">
        <v>44409</v>
      </c>
      <c r="D1969">
        <v>618.96</v>
      </c>
    </row>
    <row r="1970" spans="1:4" x14ac:dyDescent="0.25">
      <c r="A1970" t="s">
        <v>21</v>
      </c>
      <c r="B1970" t="s">
        <v>5</v>
      </c>
      <c r="C1970" s="3">
        <v>44440</v>
      </c>
      <c r="D1970">
        <v>633.03</v>
      </c>
    </row>
    <row r="1971" spans="1:4" x14ac:dyDescent="0.25">
      <c r="A1971" t="s">
        <v>21</v>
      </c>
      <c r="B1971" t="s">
        <v>5</v>
      </c>
      <c r="C1971" s="3">
        <v>44470</v>
      </c>
      <c r="D1971">
        <v>670.99</v>
      </c>
    </row>
    <row r="1972" spans="1:4" x14ac:dyDescent="0.25">
      <c r="A1972" t="s">
        <v>21</v>
      </c>
      <c r="B1972" t="s">
        <v>5</v>
      </c>
      <c r="C1972" s="3">
        <v>44501</v>
      </c>
      <c r="D1972">
        <v>668.17</v>
      </c>
    </row>
    <row r="1973" spans="1:4" x14ac:dyDescent="0.25">
      <c r="A1973" t="s">
        <v>21</v>
      </c>
      <c r="B1973" t="s">
        <v>5</v>
      </c>
      <c r="C1973" s="3">
        <v>44531</v>
      </c>
      <c r="D1973">
        <v>662.01</v>
      </c>
    </row>
    <row r="1974" spans="1:4" x14ac:dyDescent="0.25">
      <c r="A1974" t="s">
        <v>21</v>
      </c>
      <c r="B1974" t="s">
        <v>5</v>
      </c>
      <c r="C1974" s="3">
        <v>44562</v>
      </c>
      <c r="D1974">
        <v>677.54</v>
      </c>
    </row>
    <row r="1975" spans="1:4" x14ac:dyDescent="0.25">
      <c r="A1975" t="s">
        <v>21</v>
      </c>
      <c r="B1975" t="s">
        <v>5</v>
      </c>
      <c r="C1975" s="3">
        <v>44593</v>
      </c>
      <c r="D1975">
        <v>682.54</v>
      </c>
    </row>
    <row r="1976" spans="1:4" x14ac:dyDescent="0.25">
      <c r="A1976" t="s">
        <v>21</v>
      </c>
      <c r="B1976" t="s">
        <v>5</v>
      </c>
      <c r="C1976" s="3">
        <v>44621</v>
      </c>
      <c r="D1976">
        <v>704.93</v>
      </c>
    </row>
    <row r="1977" spans="1:4" x14ac:dyDescent="0.25">
      <c r="A1977" t="s">
        <v>21</v>
      </c>
      <c r="B1977" t="s">
        <v>5</v>
      </c>
      <c r="C1977" s="3">
        <v>44652</v>
      </c>
      <c r="D1977">
        <v>729.31</v>
      </c>
    </row>
    <row r="1978" spans="1:4" x14ac:dyDescent="0.25">
      <c r="A1978" t="s">
        <v>21</v>
      </c>
      <c r="B1978" t="s">
        <v>5</v>
      </c>
      <c r="C1978" s="3">
        <v>44682</v>
      </c>
      <c r="D1978">
        <v>698.24</v>
      </c>
    </row>
    <row r="1979" spans="1:4" x14ac:dyDescent="0.25">
      <c r="A1979" t="s">
        <v>21</v>
      </c>
      <c r="B1979" t="s">
        <v>5</v>
      </c>
      <c r="C1979" s="3">
        <v>44713</v>
      </c>
      <c r="D1979">
        <v>692.84</v>
      </c>
    </row>
    <row r="1980" spans="1:4" x14ac:dyDescent="0.25">
      <c r="A1980" t="s">
        <v>21</v>
      </c>
      <c r="B1980" t="s">
        <v>5</v>
      </c>
      <c r="C1980" s="3">
        <v>44743</v>
      </c>
      <c r="D1980">
        <v>700.75</v>
      </c>
    </row>
    <row r="1981" spans="1:4" x14ac:dyDescent="0.25">
      <c r="A1981" t="s">
        <v>21</v>
      </c>
      <c r="B1981" t="s">
        <v>5</v>
      </c>
      <c r="C1981" s="3">
        <v>44774</v>
      </c>
      <c r="D1981">
        <v>697.39</v>
      </c>
    </row>
    <row r="1982" spans="1:4" x14ac:dyDescent="0.25">
      <c r="A1982" t="s">
        <v>21</v>
      </c>
      <c r="B1982" t="s">
        <v>5</v>
      </c>
      <c r="C1982" s="3">
        <v>44805</v>
      </c>
      <c r="D1982">
        <v>686.26</v>
      </c>
    </row>
    <row r="1983" spans="1:4" x14ac:dyDescent="0.25">
      <c r="A1983" t="s">
        <v>21</v>
      </c>
      <c r="B1983" t="s">
        <v>5</v>
      </c>
      <c r="C1983" s="3">
        <v>44835</v>
      </c>
      <c r="D1983">
        <v>707.78</v>
      </c>
    </row>
    <row r="1984" spans="1:4" x14ac:dyDescent="0.25">
      <c r="A1984" t="s">
        <v>21</v>
      </c>
      <c r="B1984" t="s">
        <v>5</v>
      </c>
      <c r="C1984" s="3">
        <v>44866</v>
      </c>
      <c r="D1984">
        <v>713.57</v>
      </c>
    </row>
    <row r="1985" spans="1:4" x14ac:dyDescent="0.25">
      <c r="A1985" t="s">
        <v>21</v>
      </c>
      <c r="B1985" t="s">
        <v>5</v>
      </c>
      <c r="C1985" s="3">
        <v>44896</v>
      </c>
      <c r="D1985">
        <v>728.78</v>
      </c>
    </row>
    <row r="1986" spans="1:4" x14ac:dyDescent="0.25">
      <c r="A1986" t="s">
        <v>21</v>
      </c>
      <c r="B1986" t="s">
        <v>5</v>
      </c>
      <c r="C1986" s="3">
        <v>44927</v>
      </c>
      <c r="D1986">
        <v>726.23</v>
      </c>
    </row>
    <row r="1987" spans="1:4" x14ac:dyDescent="0.25">
      <c r="A1987" t="s">
        <v>21</v>
      </c>
      <c r="B1987" t="s">
        <v>5</v>
      </c>
      <c r="C1987" s="3">
        <v>44958</v>
      </c>
      <c r="D1987">
        <v>709.21</v>
      </c>
    </row>
    <row r="1988" spans="1:4" x14ac:dyDescent="0.25">
      <c r="A1988" t="s">
        <v>21</v>
      </c>
      <c r="B1988" t="s">
        <v>5</v>
      </c>
      <c r="C1988" s="3">
        <v>44986</v>
      </c>
      <c r="D1988">
        <v>699.16</v>
      </c>
    </row>
    <row r="1989" spans="1:4" x14ac:dyDescent="0.25">
      <c r="A1989" t="s">
        <v>21</v>
      </c>
      <c r="B1989" t="s">
        <v>5</v>
      </c>
      <c r="C1989" s="3">
        <v>45017</v>
      </c>
      <c r="D1989">
        <v>703.9</v>
      </c>
    </row>
    <row r="1990" spans="1:4" x14ac:dyDescent="0.25">
      <c r="A1990" t="s">
        <v>21</v>
      </c>
      <c r="B1990" t="s">
        <v>5</v>
      </c>
      <c r="C1990" s="3">
        <v>45047</v>
      </c>
      <c r="D1990">
        <v>706.06</v>
      </c>
    </row>
    <row r="1991" spans="1:4" x14ac:dyDescent="0.25">
      <c r="A1991" t="s">
        <v>21</v>
      </c>
      <c r="B1991" t="s">
        <v>5</v>
      </c>
      <c r="C1991" s="3">
        <v>45078</v>
      </c>
      <c r="D1991">
        <v>691.34</v>
      </c>
    </row>
    <row r="1992" spans="1:4" x14ac:dyDescent="0.25">
      <c r="A1992" t="s">
        <v>21</v>
      </c>
      <c r="B1992" t="s">
        <v>5</v>
      </c>
      <c r="C1992" s="3">
        <v>45108</v>
      </c>
      <c r="D1992">
        <v>674.54</v>
      </c>
    </row>
    <row r="1993" spans="1:4" x14ac:dyDescent="0.25">
      <c r="A1993" t="s">
        <v>21</v>
      </c>
      <c r="B1993" t="s">
        <v>5</v>
      </c>
      <c r="C1993" s="3">
        <v>45139</v>
      </c>
      <c r="D1993">
        <v>660.88</v>
      </c>
    </row>
    <row r="1994" spans="1:4" x14ac:dyDescent="0.25">
      <c r="A1994" t="s">
        <v>21</v>
      </c>
      <c r="B1994" t="s">
        <v>5</v>
      </c>
      <c r="C1994" s="3">
        <v>45170</v>
      </c>
      <c r="D1994">
        <v>681.91</v>
      </c>
    </row>
    <row r="1995" spans="1:4" x14ac:dyDescent="0.25">
      <c r="A1995" t="s">
        <v>21</v>
      </c>
      <c r="B1995" t="s">
        <v>5</v>
      </c>
      <c r="C1995" s="3">
        <v>45200</v>
      </c>
      <c r="D1995">
        <v>675.16</v>
      </c>
    </row>
    <row r="1996" spans="1:4" x14ac:dyDescent="0.25">
      <c r="A1996" t="s">
        <v>21</v>
      </c>
      <c r="B1996" t="s">
        <v>5</v>
      </c>
      <c r="C1996" s="3">
        <v>45231</v>
      </c>
      <c r="D1996">
        <v>675.45</v>
      </c>
    </row>
    <row r="1997" spans="1:4" x14ac:dyDescent="0.25">
      <c r="A1997" t="s">
        <v>21</v>
      </c>
      <c r="B1997" t="s">
        <v>5</v>
      </c>
      <c r="C1997" s="3">
        <v>45261</v>
      </c>
      <c r="D1997">
        <v>688.86</v>
      </c>
    </row>
    <row r="1998" spans="1:4" x14ac:dyDescent="0.25">
      <c r="A1998" t="s">
        <v>21</v>
      </c>
      <c r="B1998" t="s">
        <v>5</v>
      </c>
      <c r="C1998" s="3">
        <v>45292</v>
      </c>
      <c r="D1998">
        <v>719.3</v>
      </c>
    </row>
    <row r="1999" spans="1:4" x14ac:dyDescent="0.25">
      <c r="A1999" t="s">
        <v>21</v>
      </c>
      <c r="B1999" t="s">
        <v>5</v>
      </c>
      <c r="C1999" s="3">
        <v>45323</v>
      </c>
      <c r="D1999">
        <v>731.83</v>
      </c>
    </row>
    <row r="2000" spans="1:4" x14ac:dyDescent="0.25">
      <c r="A2000" t="s">
        <v>21</v>
      </c>
      <c r="B2000" t="s">
        <v>5</v>
      </c>
      <c r="C2000" s="3">
        <v>45352</v>
      </c>
      <c r="D2000">
        <v>729.34</v>
      </c>
    </row>
    <row r="2001" spans="1:4" x14ac:dyDescent="0.25">
      <c r="A2001" t="s">
        <v>21</v>
      </c>
      <c r="B2001" t="s">
        <v>5</v>
      </c>
      <c r="C2001" s="3">
        <v>45383</v>
      </c>
      <c r="D2001">
        <v>726.82</v>
      </c>
    </row>
    <row r="2002" spans="1:4" x14ac:dyDescent="0.25">
      <c r="A2002" t="s">
        <v>21</v>
      </c>
      <c r="B2002" t="s">
        <v>5</v>
      </c>
      <c r="C2002" s="3">
        <v>45413</v>
      </c>
      <c r="D2002">
        <v>723.91</v>
      </c>
    </row>
    <row r="2003" spans="1:4" x14ac:dyDescent="0.25">
      <c r="A2003" t="s">
        <v>21</v>
      </c>
      <c r="B2003" t="s">
        <v>5</v>
      </c>
      <c r="C2003" s="3">
        <v>45444</v>
      </c>
      <c r="D2003">
        <v>718.43</v>
      </c>
    </row>
    <row r="2004" spans="1:4" x14ac:dyDescent="0.25">
      <c r="A2004" t="s">
        <v>21</v>
      </c>
      <c r="B2004" t="s">
        <v>5</v>
      </c>
      <c r="C2004" s="3">
        <v>45474</v>
      </c>
      <c r="D2004">
        <v>688.45</v>
      </c>
    </row>
    <row r="2005" spans="1:4" x14ac:dyDescent="0.25">
      <c r="A2005" t="s">
        <v>21</v>
      </c>
      <c r="B2005" t="s">
        <v>5</v>
      </c>
      <c r="C2005" s="3">
        <v>45505</v>
      </c>
      <c r="D2005">
        <v>684.21</v>
      </c>
    </row>
    <row r="2006" spans="1:4" x14ac:dyDescent="0.25">
      <c r="A2006" t="s">
        <v>21</v>
      </c>
      <c r="B2006" t="s">
        <v>5</v>
      </c>
      <c r="C2006" s="3">
        <v>45536</v>
      </c>
      <c r="D2006">
        <v>694.87</v>
      </c>
    </row>
    <row r="2007" spans="1:4" x14ac:dyDescent="0.25">
      <c r="A2007" t="s">
        <v>21</v>
      </c>
      <c r="B2007" t="s">
        <v>5</v>
      </c>
      <c r="C2007" s="3">
        <v>45566</v>
      </c>
      <c r="D2007">
        <v>708.06</v>
      </c>
    </row>
    <row r="2008" spans="1:4" x14ac:dyDescent="0.25">
      <c r="A2008" t="s">
        <v>21</v>
      </c>
      <c r="B2008" t="s">
        <v>5</v>
      </c>
      <c r="C2008" s="3">
        <v>45597</v>
      </c>
      <c r="D2008">
        <v>726.51</v>
      </c>
    </row>
    <row r="2009" spans="1:4" x14ac:dyDescent="0.25">
      <c r="A2009" t="s">
        <v>21</v>
      </c>
      <c r="B2009" t="s">
        <v>5</v>
      </c>
      <c r="C2009" s="3">
        <v>45627</v>
      </c>
      <c r="D2009">
        <v>747.42</v>
      </c>
    </row>
    <row r="2010" spans="1:4" x14ac:dyDescent="0.25">
      <c r="A2010" t="s">
        <v>21</v>
      </c>
      <c r="B2010" t="s">
        <v>5</v>
      </c>
      <c r="C2010" s="3">
        <v>45658</v>
      </c>
      <c r="D2010">
        <v>735.31</v>
      </c>
    </row>
    <row r="2011" spans="1:4" x14ac:dyDescent="0.25">
      <c r="A2011" t="s">
        <v>21</v>
      </c>
      <c r="B2011" t="s">
        <v>5</v>
      </c>
      <c r="C2011" s="3">
        <v>45689</v>
      </c>
      <c r="D2011">
        <v>745.49</v>
      </c>
    </row>
    <row r="2012" spans="1:4" x14ac:dyDescent="0.25">
      <c r="A2012" t="s">
        <v>21</v>
      </c>
      <c r="B2012" t="s">
        <v>5</v>
      </c>
      <c r="C2012" s="3">
        <v>45717</v>
      </c>
      <c r="D2012">
        <v>762.94</v>
      </c>
    </row>
    <row r="2013" spans="1:4" x14ac:dyDescent="0.25">
      <c r="A2013" t="s">
        <v>21</v>
      </c>
      <c r="B2013" t="s">
        <v>5</v>
      </c>
      <c r="C2013" s="3">
        <v>45748</v>
      </c>
      <c r="D2013">
        <v>793.86</v>
      </c>
    </row>
    <row r="2014" spans="1:4" x14ac:dyDescent="0.25">
      <c r="A2014" t="s">
        <v>21</v>
      </c>
      <c r="B2014" t="s">
        <v>5</v>
      </c>
      <c r="C2014" s="3">
        <v>45778</v>
      </c>
      <c r="D2014">
        <v>784.96</v>
      </c>
    </row>
    <row r="2015" spans="1:4" x14ac:dyDescent="0.25">
      <c r="A2015" t="s">
        <v>21</v>
      </c>
      <c r="B2015" t="s">
        <v>5</v>
      </c>
      <c r="C2015" s="3">
        <v>45809</v>
      </c>
      <c r="D2015">
        <v>782.39</v>
      </c>
    </row>
    <row r="2016" spans="1:4" x14ac:dyDescent="0.25">
      <c r="A2016" t="s">
        <v>22</v>
      </c>
      <c r="B2016" t="s">
        <v>23</v>
      </c>
      <c r="C2016" s="3">
        <v>42005</v>
      </c>
      <c r="D2016">
        <v>788</v>
      </c>
    </row>
    <row r="2017" spans="1:4" x14ac:dyDescent="0.25">
      <c r="A2017" t="s">
        <v>22</v>
      </c>
      <c r="B2017" t="s">
        <v>23</v>
      </c>
      <c r="C2017" s="3">
        <v>42036</v>
      </c>
      <c r="D2017">
        <v>788</v>
      </c>
    </row>
    <row r="2018" spans="1:4" x14ac:dyDescent="0.25">
      <c r="A2018" t="s">
        <v>22</v>
      </c>
      <c r="B2018" t="s">
        <v>23</v>
      </c>
      <c r="C2018" s="3">
        <v>42064</v>
      </c>
      <c r="D2018">
        <v>788</v>
      </c>
    </row>
    <row r="2019" spans="1:4" x14ac:dyDescent="0.25">
      <c r="A2019" t="s">
        <v>22</v>
      </c>
      <c r="B2019" t="s">
        <v>23</v>
      </c>
      <c r="C2019" s="3">
        <v>42095</v>
      </c>
      <c r="D2019">
        <v>788</v>
      </c>
    </row>
    <row r="2020" spans="1:4" x14ac:dyDescent="0.25">
      <c r="A2020" t="s">
        <v>22</v>
      </c>
      <c r="B2020" t="s">
        <v>23</v>
      </c>
      <c r="C2020" s="3">
        <v>42125</v>
      </c>
      <c r="D2020">
        <v>788</v>
      </c>
    </row>
    <row r="2021" spans="1:4" x14ac:dyDescent="0.25">
      <c r="A2021" t="s">
        <v>22</v>
      </c>
      <c r="B2021" t="s">
        <v>23</v>
      </c>
      <c r="C2021" s="3">
        <v>42156</v>
      </c>
      <c r="D2021">
        <v>788</v>
      </c>
    </row>
    <row r="2022" spans="1:4" x14ac:dyDescent="0.25">
      <c r="A2022" t="s">
        <v>22</v>
      </c>
      <c r="B2022" t="s">
        <v>23</v>
      </c>
      <c r="C2022" s="3">
        <v>42186</v>
      </c>
      <c r="D2022">
        <v>788</v>
      </c>
    </row>
    <row r="2023" spans="1:4" x14ac:dyDescent="0.25">
      <c r="A2023" t="s">
        <v>22</v>
      </c>
      <c r="B2023" t="s">
        <v>23</v>
      </c>
      <c r="C2023" s="3">
        <v>42217</v>
      </c>
      <c r="D2023">
        <v>788</v>
      </c>
    </row>
    <row r="2024" spans="1:4" x14ac:dyDescent="0.25">
      <c r="A2024" t="s">
        <v>22</v>
      </c>
      <c r="B2024" t="s">
        <v>23</v>
      </c>
      <c r="C2024" s="3">
        <v>42248</v>
      </c>
      <c r="D2024">
        <v>788</v>
      </c>
    </row>
    <row r="2025" spans="1:4" x14ac:dyDescent="0.25">
      <c r="A2025" t="s">
        <v>22</v>
      </c>
      <c r="B2025" t="s">
        <v>23</v>
      </c>
      <c r="C2025" s="3">
        <v>42278</v>
      </c>
      <c r="D2025">
        <v>788</v>
      </c>
    </row>
    <row r="2026" spans="1:4" x14ac:dyDescent="0.25">
      <c r="A2026" t="s">
        <v>22</v>
      </c>
      <c r="B2026" t="s">
        <v>23</v>
      </c>
      <c r="C2026" s="3">
        <v>42309</v>
      </c>
      <c r="D2026">
        <v>788</v>
      </c>
    </row>
    <row r="2027" spans="1:4" x14ac:dyDescent="0.25">
      <c r="A2027" t="s">
        <v>22</v>
      </c>
      <c r="B2027" t="s">
        <v>23</v>
      </c>
      <c r="C2027" s="3">
        <v>42339</v>
      </c>
      <c r="D2027">
        <v>788</v>
      </c>
    </row>
    <row r="2028" spans="1:4" x14ac:dyDescent="0.25">
      <c r="A2028" t="s">
        <v>22</v>
      </c>
      <c r="B2028" t="s">
        <v>23</v>
      </c>
      <c r="C2028" s="3">
        <v>42370</v>
      </c>
      <c r="D2028">
        <v>880</v>
      </c>
    </row>
    <row r="2029" spans="1:4" x14ac:dyDescent="0.25">
      <c r="A2029" t="s">
        <v>22</v>
      </c>
      <c r="B2029" t="s">
        <v>23</v>
      </c>
      <c r="C2029" s="3">
        <v>42401</v>
      </c>
      <c r="D2029">
        <v>880</v>
      </c>
    </row>
    <row r="2030" spans="1:4" x14ac:dyDescent="0.25">
      <c r="A2030" t="s">
        <v>22</v>
      </c>
      <c r="B2030" t="s">
        <v>23</v>
      </c>
      <c r="C2030" s="3">
        <v>42430</v>
      </c>
      <c r="D2030">
        <v>880</v>
      </c>
    </row>
    <row r="2031" spans="1:4" x14ac:dyDescent="0.25">
      <c r="A2031" t="s">
        <v>22</v>
      </c>
      <c r="B2031" t="s">
        <v>23</v>
      </c>
      <c r="C2031" s="3">
        <v>42461</v>
      </c>
      <c r="D2031">
        <v>880</v>
      </c>
    </row>
    <row r="2032" spans="1:4" x14ac:dyDescent="0.25">
      <c r="A2032" t="s">
        <v>22</v>
      </c>
      <c r="B2032" t="s">
        <v>23</v>
      </c>
      <c r="C2032" s="3">
        <v>42491</v>
      </c>
      <c r="D2032">
        <v>880</v>
      </c>
    </row>
    <row r="2033" spans="1:4" x14ac:dyDescent="0.25">
      <c r="A2033" t="s">
        <v>22</v>
      </c>
      <c r="B2033" t="s">
        <v>23</v>
      </c>
      <c r="C2033" s="3">
        <v>42522</v>
      </c>
      <c r="D2033">
        <v>880</v>
      </c>
    </row>
    <row r="2034" spans="1:4" x14ac:dyDescent="0.25">
      <c r="A2034" t="s">
        <v>22</v>
      </c>
      <c r="B2034" t="s">
        <v>23</v>
      </c>
      <c r="C2034" s="3">
        <v>42552</v>
      </c>
      <c r="D2034">
        <v>880</v>
      </c>
    </row>
    <row r="2035" spans="1:4" x14ac:dyDescent="0.25">
      <c r="A2035" t="s">
        <v>22</v>
      </c>
      <c r="B2035" t="s">
        <v>23</v>
      </c>
      <c r="C2035" s="3">
        <v>42583</v>
      </c>
      <c r="D2035">
        <v>880</v>
      </c>
    </row>
    <row r="2036" spans="1:4" x14ac:dyDescent="0.25">
      <c r="A2036" t="s">
        <v>22</v>
      </c>
      <c r="B2036" t="s">
        <v>23</v>
      </c>
      <c r="C2036" s="3">
        <v>42614</v>
      </c>
      <c r="D2036">
        <v>880</v>
      </c>
    </row>
    <row r="2037" spans="1:4" x14ac:dyDescent="0.25">
      <c r="A2037" t="s">
        <v>22</v>
      </c>
      <c r="B2037" t="s">
        <v>23</v>
      </c>
      <c r="C2037" s="3">
        <v>42644</v>
      </c>
      <c r="D2037">
        <v>880</v>
      </c>
    </row>
    <row r="2038" spans="1:4" x14ac:dyDescent="0.25">
      <c r="A2038" t="s">
        <v>22</v>
      </c>
      <c r="B2038" t="s">
        <v>23</v>
      </c>
      <c r="C2038" s="3">
        <v>42675</v>
      </c>
      <c r="D2038">
        <v>880</v>
      </c>
    </row>
    <row r="2039" spans="1:4" x14ac:dyDescent="0.25">
      <c r="A2039" t="s">
        <v>22</v>
      </c>
      <c r="B2039" t="s">
        <v>23</v>
      </c>
      <c r="C2039" s="3">
        <v>42705</v>
      </c>
      <c r="D2039">
        <v>880</v>
      </c>
    </row>
    <row r="2040" spans="1:4" x14ac:dyDescent="0.25">
      <c r="A2040" t="s">
        <v>22</v>
      </c>
      <c r="B2040" t="s">
        <v>23</v>
      </c>
      <c r="C2040" s="3">
        <v>42736</v>
      </c>
      <c r="D2040">
        <v>937</v>
      </c>
    </row>
    <row r="2041" spans="1:4" x14ac:dyDescent="0.25">
      <c r="A2041" t="s">
        <v>22</v>
      </c>
      <c r="B2041" t="s">
        <v>23</v>
      </c>
      <c r="C2041" s="3">
        <v>42767</v>
      </c>
      <c r="D2041">
        <v>937</v>
      </c>
    </row>
    <row r="2042" spans="1:4" x14ac:dyDescent="0.25">
      <c r="A2042" t="s">
        <v>22</v>
      </c>
      <c r="B2042" t="s">
        <v>23</v>
      </c>
      <c r="C2042" s="3">
        <v>42795</v>
      </c>
      <c r="D2042">
        <v>937</v>
      </c>
    </row>
    <row r="2043" spans="1:4" x14ac:dyDescent="0.25">
      <c r="A2043" t="s">
        <v>22</v>
      </c>
      <c r="B2043" t="s">
        <v>23</v>
      </c>
      <c r="C2043" s="3">
        <v>42826</v>
      </c>
      <c r="D2043">
        <v>937</v>
      </c>
    </row>
    <row r="2044" spans="1:4" x14ac:dyDescent="0.25">
      <c r="A2044" t="s">
        <v>22</v>
      </c>
      <c r="B2044" t="s">
        <v>23</v>
      </c>
      <c r="C2044" s="3">
        <v>42856</v>
      </c>
      <c r="D2044">
        <v>937</v>
      </c>
    </row>
    <row r="2045" spans="1:4" x14ac:dyDescent="0.25">
      <c r="A2045" t="s">
        <v>22</v>
      </c>
      <c r="B2045" t="s">
        <v>23</v>
      </c>
      <c r="C2045" s="3">
        <v>42887</v>
      </c>
      <c r="D2045">
        <v>937</v>
      </c>
    </row>
    <row r="2046" spans="1:4" x14ac:dyDescent="0.25">
      <c r="A2046" t="s">
        <v>22</v>
      </c>
      <c r="B2046" t="s">
        <v>23</v>
      </c>
      <c r="C2046" s="3">
        <v>42917</v>
      </c>
      <c r="D2046">
        <v>937</v>
      </c>
    </row>
    <row r="2047" spans="1:4" x14ac:dyDescent="0.25">
      <c r="A2047" t="s">
        <v>22</v>
      </c>
      <c r="B2047" t="s">
        <v>23</v>
      </c>
      <c r="C2047" s="3">
        <v>42948</v>
      </c>
      <c r="D2047">
        <v>937</v>
      </c>
    </row>
    <row r="2048" spans="1:4" x14ac:dyDescent="0.25">
      <c r="A2048" t="s">
        <v>22</v>
      </c>
      <c r="B2048" t="s">
        <v>23</v>
      </c>
      <c r="C2048" s="3">
        <v>42979</v>
      </c>
      <c r="D2048">
        <v>937</v>
      </c>
    </row>
    <row r="2049" spans="1:4" x14ac:dyDescent="0.25">
      <c r="A2049" t="s">
        <v>22</v>
      </c>
      <c r="B2049" t="s">
        <v>23</v>
      </c>
      <c r="C2049" s="3">
        <v>43009</v>
      </c>
      <c r="D2049">
        <v>937</v>
      </c>
    </row>
    <row r="2050" spans="1:4" x14ac:dyDescent="0.25">
      <c r="A2050" t="s">
        <v>22</v>
      </c>
      <c r="B2050" t="s">
        <v>23</v>
      </c>
      <c r="C2050" s="3">
        <v>43040</v>
      </c>
      <c r="D2050">
        <v>937</v>
      </c>
    </row>
    <row r="2051" spans="1:4" x14ac:dyDescent="0.25">
      <c r="A2051" t="s">
        <v>22</v>
      </c>
      <c r="B2051" t="s">
        <v>23</v>
      </c>
      <c r="C2051" s="3">
        <v>43070</v>
      </c>
      <c r="D2051">
        <v>937</v>
      </c>
    </row>
    <row r="2052" spans="1:4" x14ac:dyDescent="0.25">
      <c r="A2052" t="s">
        <v>22</v>
      </c>
      <c r="B2052" t="s">
        <v>23</v>
      </c>
      <c r="C2052" s="3">
        <v>43101</v>
      </c>
      <c r="D2052">
        <v>954</v>
      </c>
    </row>
    <row r="2053" spans="1:4" x14ac:dyDescent="0.25">
      <c r="A2053" t="s">
        <v>22</v>
      </c>
      <c r="B2053" t="s">
        <v>23</v>
      </c>
      <c r="C2053" s="3">
        <v>43132</v>
      </c>
      <c r="D2053">
        <v>954</v>
      </c>
    </row>
    <row r="2054" spans="1:4" x14ac:dyDescent="0.25">
      <c r="A2054" t="s">
        <v>22</v>
      </c>
      <c r="B2054" t="s">
        <v>23</v>
      </c>
      <c r="C2054" s="3">
        <v>43160</v>
      </c>
      <c r="D2054">
        <v>954</v>
      </c>
    </row>
    <row r="2055" spans="1:4" x14ac:dyDescent="0.25">
      <c r="A2055" t="s">
        <v>22</v>
      </c>
      <c r="B2055" t="s">
        <v>23</v>
      </c>
      <c r="C2055" s="3">
        <v>43191</v>
      </c>
      <c r="D2055">
        <v>954</v>
      </c>
    </row>
    <row r="2056" spans="1:4" x14ac:dyDescent="0.25">
      <c r="A2056" t="s">
        <v>22</v>
      </c>
      <c r="B2056" t="s">
        <v>23</v>
      </c>
      <c r="C2056" s="3">
        <v>43221</v>
      </c>
      <c r="D2056">
        <v>954</v>
      </c>
    </row>
    <row r="2057" spans="1:4" x14ac:dyDescent="0.25">
      <c r="A2057" t="s">
        <v>22</v>
      </c>
      <c r="B2057" t="s">
        <v>23</v>
      </c>
      <c r="C2057" s="3">
        <v>43252</v>
      </c>
      <c r="D2057">
        <v>954</v>
      </c>
    </row>
    <row r="2058" spans="1:4" x14ac:dyDescent="0.25">
      <c r="A2058" t="s">
        <v>22</v>
      </c>
      <c r="B2058" t="s">
        <v>23</v>
      </c>
      <c r="C2058" s="3">
        <v>43282</v>
      </c>
      <c r="D2058">
        <v>954</v>
      </c>
    </row>
    <row r="2059" spans="1:4" x14ac:dyDescent="0.25">
      <c r="A2059" t="s">
        <v>22</v>
      </c>
      <c r="B2059" t="s">
        <v>23</v>
      </c>
      <c r="C2059" s="3">
        <v>43313</v>
      </c>
      <c r="D2059">
        <v>954</v>
      </c>
    </row>
    <row r="2060" spans="1:4" x14ac:dyDescent="0.25">
      <c r="A2060" t="s">
        <v>22</v>
      </c>
      <c r="B2060" t="s">
        <v>23</v>
      </c>
      <c r="C2060" s="3">
        <v>43344</v>
      </c>
      <c r="D2060">
        <v>954</v>
      </c>
    </row>
    <row r="2061" spans="1:4" x14ac:dyDescent="0.25">
      <c r="A2061" t="s">
        <v>22</v>
      </c>
      <c r="B2061" t="s">
        <v>23</v>
      </c>
      <c r="C2061" s="3">
        <v>43374</v>
      </c>
      <c r="D2061">
        <v>954</v>
      </c>
    </row>
    <row r="2062" spans="1:4" x14ac:dyDescent="0.25">
      <c r="A2062" t="s">
        <v>22</v>
      </c>
      <c r="B2062" t="s">
        <v>23</v>
      </c>
      <c r="C2062" s="3">
        <v>43405</v>
      </c>
      <c r="D2062">
        <v>954</v>
      </c>
    </row>
    <row r="2063" spans="1:4" x14ac:dyDescent="0.25">
      <c r="A2063" t="s">
        <v>22</v>
      </c>
      <c r="B2063" t="s">
        <v>23</v>
      </c>
      <c r="C2063" s="3">
        <v>43435</v>
      </c>
      <c r="D2063">
        <v>954</v>
      </c>
    </row>
    <row r="2064" spans="1:4" x14ac:dyDescent="0.25">
      <c r="A2064" t="s">
        <v>22</v>
      </c>
      <c r="B2064" t="s">
        <v>23</v>
      </c>
      <c r="C2064" s="3">
        <v>43466</v>
      </c>
      <c r="D2064">
        <v>998</v>
      </c>
    </row>
    <row r="2065" spans="1:4" x14ac:dyDescent="0.25">
      <c r="A2065" t="s">
        <v>22</v>
      </c>
      <c r="B2065" t="s">
        <v>23</v>
      </c>
      <c r="C2065" s="3">
        <v>43497</v>
      </c>
      <c r="D2065">
        <v>998</v>
      </c>
    </row>
    <row r="2066" spans="1:4" x14ac:dyDescent="0.25">
      <c r="A2066" t="s">
        <v>22</v>
      </c>
      <c r="B2066" t="s">
        <v>23</v>
      </c>
      <c r="C2066" s="3">
        <v>43525</v>
      </c>
      <c r="D2066">
        <v>998</v>
      </c>
    </row>
    <row r="2067" spans="1:4" x14ac:dyDescent="0.25">
      <c r="A2067" t="s">
        <v>22</v>
      </c>
      <c r="B2067" t="s">
        <v>23</v>
      </c>
      <c r="C2067" s="3">
        <v>43556</v>
      </c>
      <c r="D2067">
        <v>998</v>
      </c>
    </row>
    <row r="2068" spans="1:4" x14ac:dyDescent="0.25">
      <c r="A2068" t="s">
        <v>22</v>
      </c>
      <c r="B2068" t="s">
        <v>23</v>
      </c>
      <c r="C2068" s="3">
        <v>43586</v>
      </c>
      <c r="D2068">
        <v>998</v>
      </c>
    </row>
    <row r="2069" spans="1:4" x14ac:dyDescent="0.25">
      <c r="A2069" t="s">
        <v>22</v>
      </c>
      <c r="B2069" t="s">
        <v>23</v>
      </c>
      <c r="C2069" s="3">
        <v>43617</v>
      </c>
      <c r="D2069">
        <v>998</v>
      </c>
    </row>
    <row r="2070" spans="1:4" x14ac:dyDescent="0.25">
      <c r="A2070" t="s">
        <v>22</v>
      </c>
      <c r="B2070" t="s">
        <v>23</v>
      </c>
      <c r="C2070" s="3">
        <v>43647</v>
      </c>
      <c r="D2070">
        <v>998</v>
      </c>
    </row>
    <row r="2071" spans="1:4" x14ac:dyDescent="0.25">
      <c r="A2071" t="s">
        <v>22</v>
      </c>
      <c r="B2071" t="s">
        <v>23</v>
      </c>
      <c r="C2071" s="3">
        <v>43678</v>
      </c>
      <c r="D2071">
        <v>998</v>
      </c>
    </row>
    <row r="2072" spans="1:4" x14ac:dyDescent="0.25">
      <c r="A2072" t="s">
        <v>22</v>
      </c>
      <c r="B2072" t="s">
        <v>23</v>
      </c>
      <c r="C2072" s="3">
        <v>43709</v>
      </c>
      <c r="D2072">
        <v>998</v>
      </c>
    </row>
    <row r="2073" spans="1:4" x14ac:dyDescent="0.25">
      <c r="A2073" t="s">
        <v>22</v>
      </c>
      <c r="B2073" t="s">
        <v>23</v>
      </c>
      <c r="C2073" s="3">
        <v>43739</v>
      </c>
      <c r="D2073">
        <v>998</v>
      </c>
    </row>
    <row r="2074" spans="1:4" x14ac:dyDescent="0.25">
      <c r="A2074" t="s">
        <v>22</v>
      </c>
      <c r="B2074" t="s">
        <v>23</v>
      </c>
      <c r="C2074" s="3">
        <v>43770</v>
      </c>
      <c r="D2074">
        <v>998</v>
      </c>
    </row>
    <row r="2075" spans="1:4" x14ac:dyDescent="0.25">
      <c r="A2075" t="s">
        <v>22</v>
      </c>
      <c r="B2075" t="s">
        <v>23</v>
      </c>
      <c r="C2075" s="3">
        <v>43800</v>
      </c>
      <c r="D2075">
        <v>998</v>
      </c>
    </row>
    <row r="2076" spans="1:4" x14ac:dyDescent="0.25">
      <c r="A2076" t="s">
        <v>22</v>
      </c>
      <c r="B2076" t="s">
        <v>23</v>
      </c>
      <c r="C2076" s="3">
        <v>43831</v>
      </c>
      <c r="D2076">
        <v>1039</v>
      </c>
    </row>
    <row r="2077" spans="1:4" x14ac:dyDescent="0.25">
      <c r="A2077" t="s">
        <v>22</v>
      </c>
      <c r="B2077" t="s">
        <v>23</v>
      </c>
      <c r="C2077" s="3">
        <v>43862</v>
      </c>
      <c r="D2077">
        <v>1045</v>
      </c>
    </row>
    <row r="2078" spans="1:4" x14ac:dyDescent="0.25">
      <c r="A2078" t="s">
        <v>22</v>
      </c>
      <c r="B2078" t="s">
        <v>23</v>
      </c>
      <c r="C2078" s="3">
        <v>43891</v>
      </c>
      <c r="D2078">
        <v>1045</v>
      </c>
    </row>
    <row r="2079" spans="1:4" x14ac:dyDescent="0.25">
      <c r="A2079" t="s">
        <v>22</v>
      </c>
      <c r="B2079" t="s">
        <v>23</v>
      </c>
      <c r="C2079" s="3">
        <v>43922</v>
      </c>
      <c r="D2079">
        <v>1045</v>
      </c>
    </row>
    <row r="2080" spans="1:4" x14ac:dyDescent="0.25">
      <c r="A2080" t="s">
        <v>22</v>
      </c>
      <c r="B2080" t="s">
        <v>23</v>
      </c>
      <c r="C2080" s="3">
        <v>43952</v>
      </c>
      <c r="D2080">
        <v>1045</v>
      </c>
    </row>
    <row r="2081" spans="1:4" x14ac:dyDescent="0.25">
      <c r="A2081" t="s">
        <v>22</v>
      </c>
      <c r="B2081" t="s">
        <v>23</v>
      </c>
      <c r="C2081" s="3">
        <v>43983</v>
      </c>
      <c r="D2081">
        <v>1045</v>
      </c>
    </row>
    <row r="2082" spans="1:4" x14ac:dyDescent="0.25">
      <c r="A2082" t="s">
        <v>22</v>
      </c>
      <c r="B2082" t="s">
        <v>23</v>
      </c>
      <c r="C2082" s="3">
        <v>44013</v>
      </c>
      <c r="D2082">
        <v>1045</v>
      </c>
    </row>
    <row r="2083" spans="1:4" x14ac:dyDescent="0.25">
      <c r="A2083" t="s">
        <v>22</v>
      </c>
      <c r="B2083" t="s">
        <v>23</v>
      </c>
      <c r="C2083" s="3">
        <v>44044</v>
      </c>
      <c r="D2083">
        <v>1045</v>
      </c>
    </row>
    <row r="2084" spans="1:4" x14ac:dyDescent="0.25">
      <c r="A2084" t="s">
        <v>22</v>
      </c>
      <c r="B2084" t="s">
        <v>23</v>
      </c>
      <c r="C2084" s="3">
        <v>44075</v>
      </c>
      <c r="D2084">
        <v>1045</v>
      </c>
    </row>
    <row r="2085" spans="1:4" x14ac:dyDescent="0.25">
      <c r="A2085" t="s">
        <v>22</v>
      </c>
      <c r="B2085" t="s">
        <v>23</v>
      </c>
      <c r="C2085" s="3">
        <v>44105</v>
      </c>
      <c r="D2085">
        <v>1045</v>
      </c>
    </row>
    <row r="2086" spans="1:4" x14ac:dyDescent="0.25">
      <c r="A2086" t="s">
        <v>22</v>
      </c>
      <c r="B2086" t="s">
        <v>23</v>
      </c>
      <c r="C2086" s="3">
        <v>44136</v>
      </c>
      <c r="D2086">
        <v>1045</v>
      </c>
    </row>
    <row r="2087" spans="1:4" x14ac:dyDescent="0.25">
      <c r="A2087" t="s">
        <v>22</v>
      </c>
      <c r="B2087" t="s">
        <v>23</v>
      </c>
      <c r="C2087" s="3">
        <v>44166</v>
      </c>
      <c r="D2087">
        <v>1045</v>
      </c>
    </row>
    <row r="2088" spans="1:4" x14ac:dyDescent="0.25">
      <c r="A2088" t="s">
        <v>22</v>
      </c>
      <c r="B2088" t="s">
        <v>23</v>
      </c>
      <c r="C2088" s="3">
        <v>44197</v>
      </c>
      <c r="D2088">
        <v>1100</v>
      </c>
    </row>
    <row r="2089" spans="1:4" x14ac:dyDescent="0.25">
      <c r="A2089" t="s">
        <v>22</v>
      </c>
      <c r="B2089" t="s">
        <v>23</v>
      </c>
      <c r="C2089" s="3">
        <v>44228</v>
      </c>
      <c r="D2089">
        <v>1100</v>
      </c>
    </row>
    <row r="2090" spans="1:4" x14ac:dyDescent="0.25">
      <c r="A2090" t="s">
        <v>22</v>
      </c>
      <c r="B2090" t="s">
        <v>23</v>
      </c>
      <c r="C2090" s="3">
        <v>44256</v>
      </c>
      <c r="D2090">
        <v>1100</v>
      </c>
    </row>
    <row r="2091" spans="1:4" x14ac:dyDescent="0.25">
      <c r="A2091" t="s">
        <v>22</v>
      </c>
      <c r="B2091" t="s">
        <v>23</v>
      </c>
      <c r="C2091" s="3">
        <v>44287</v>
      </c>
      <c r="D2091">
        <v>1100</v>
      </c>
    </row>
    <row r="2092" spans="1:4" x14ac:dyDescent="0.25">
      <c r="A2092" t="s">
        <v>22</v>
      </c>
      <c r="B2092" t="s">
        <v>23</v>
      </c>
      <c r="C2092" s="3">
        <v>44317</v>
      </c>
      <c r="D2092">
        <v>1100</v>
      </c>
    </row>
    <row r="2093" spans="1:4" x14ac:dyDescent="0.25">
      <c r="A2093" t="s">
        <v>22</v>
      </c>
      <c r="B2093" t="s">
        <v>23</v>
      </c>
      <c r="C2093" s="3">
        <v>44348</v>
      </c>
      <c r="D2093">
        <v>1100</v>
      </c>
    </row>
    <row r="2094" spans="1:4" x14ac:dyDescent="0.25">
      <c r="A2094" t="s">
        <v>22</v>
      </c>
      <c r="B2094" t="s">
        <v>23</v>
      </c>
      <c r="C2094" s="3">
        <v>44378</v>
      </c>
      <c r="D2094">
        <v>1100</v>
      </c>
    </row>
    <row r="2095" spans="1:4" x14ac:dyDescent="0.25">
      <c r="A2095" t="s">
        <v>22</v>
      </c>
      <c r="B2095" t="s">
        <v>23</v>
      </c>
      <c r="C2095" s="3">
        <v>44409</v>
      </c>
      <c r="D2095">
        <v>1100</v>
      </c>
    </row>
    <row r="2096" spans="1:4" x14ac:dyDescent="0.25">
      <c r="A2096" t="s">
        <v>22</v>
      </c>
      <c r="B2096" t="s">
        <v>23</v>
      </c>
      <c r="C2096" s="3">
        <v>44440</v>
      </c>
      <c r="D2096">
        <v>1100</v>
      </c>
    </row>
    <row r="2097" spans="1:4" x14ac:dyDescent="0.25">
      <c r="A2097" t="s">
        <v>22</v>
      </c>
      <c r="B2097" t="s">
        <v>23</v>
      </c>
      <c r="C2097" s="3">
        <v>44470</v>
      </c>
      <c r="D2097">
        <v>1100</v>
      </c>
    </row>
    <row r="2098" spans="1:4" x14ac:dyDescent="0.25">
      <c r="A2098" t="s">
        <v>22</v>
      </c>
      <c r="B2098" t="s">
        <v>23</v>
      </c>
      <c r="C2098" s="3">
        <v>44501</v>
      </c>
      <c r="D2098">
        <v>1100</v>
      </c>
    </row>
    <row r="2099" spans="1:4" x14ac:dyDescent="0.25">
      <c r="A2099" t="s">
        <v>22</v>
      </c>
      <c r="B2099" t="s">
        <v>23</v>
      </c>
      <c r="C2099" s="3">
        <v>44531</v>
      </c>
      <c r="D2099">
        <v>1100</v>
      </c>
    </row>
    <row r="2100" spans="1:4" x14ac:dyDescent="0.25">
      <c r="A2100" t="s">
        <v>22</v>
      </c>
      <c r="B2100" t="s">
        <v>23</v>
      </c>
      <c r="C2100" s="3">
        <v>44562</v>
      </c>
      <c r="D2100">
        <v>1212</v>
      </c>
    </row>
    <row r="2101" spans="1:4" x14ac:dyDescent="0.25">
      <c r="A2101" t="s">
        <v>22</v>
      </c>
      <c r="B2101" t="s">
        <v>23</v>
      </c>
      <c r="C2101" s="3">
        <v>44593</v>
      </c>
      <c r="D2101">
        <v>1212</v>
      </c>
    </row>
    <row r="2102" spans="1:4" x14ac:dyDescent="0.25">
      <c r="A2102" t="s">
        <v>22</v>
      </c>
      <c r="B2102" t="s">
        <v>23</v>
      </c>
      <c r="C2102" s="3">
        <v>44621</v>
      </c>
      <c r="D2102">
        <v>1212</v>
      </c>
    </row>
    <row r="2103" spans="1:4" x14ac:dyDescent="0.25">
      <c r="A2103" t="s">
        <v>22</v>
      </c>
      <c r="B2103" t="s">
        <v>23</v>
      </c>
      <c r="C2103" s="3">
        <v>44652</v>
      </c>
      <c r="D2103">
        <v>1212</v>
      </c>
    </row>
    <row r="2104" spans="1:4" x14ac:dyDescent="0.25">
      <c r="A2104" t="s">
        <v>22</v>
      </c>
      <c r="B2104" t="s">
        <v>23</v>
      </c>
      <c r="C2104" s="3">
        <v>44682</v>
      </c>
      <c r="D2104">
        <v>1212</v>
      </c>
    </row>
    <row r="2105" spans="1:4" x14ac:dyDescent="0.25">
      <c r="A2105" t="s">
        <v>22</v>
      </c>
      <c r="B2105" t="s">
        <v>23</v>
      </c>
      <c r="C2105" s="3">
        <v>44713</v>
      </c>
      <c r="D2105">
        <v>1212</v>
      </c>
    </row>
    <row r="2106" spans="1:4" x14ac:dyDescent="0.25">
      <c r="A2106" t="s">
        <v>22</v>
      </c>
      <c r="B2106" t="s">
        <v>23</v>
      </c>
      <c r="C2106" s="3">
        <v>44743</v>
      </c>
      <c r="D2106">
        <v>1212</v>
      </c>
    </row>
    <row r="2107" spans="1:4" x14ac:dyDescent="0.25">
      <c r="A2107" t="s">
        <v>22</v>
      </c>
      <c r="B2107" t="s">
        <v>23</v>
      </c>
      <c r="C2107" s="3">
        <v>44774</v>
      </c>
      <c r="D2107">
        <v>1212</v>
      </c>
    </row>
    <row r="2108" spans="1:4" x14ac:dyDescent="0.25">
      <c r="A2108" t="s">
        <v>22</v>
      </c>
      <c r="B2108" t="s">
        <v>23</v>
      </c>
      <c r="C2108" s="3">
        <v>44805</v>
      </c>
      <c r="D2108">
        <v>1212</v>
      </c>
    </row>
    <row r="2109" spans="1:4" x14ac:dyDescent="0.25">
      <c r="A2109" t="s">
        <v>22</v>
      </c>
      <c r="B2109" t="s">
        <v>23</v>
      </c>
      <c r="C2109" s="3">
        <v>44835</v>
      </c>
      <c r="D2109">
        <v>1212</v>
      </c>
    </row>
    <row r="2110" spans="1:4" x14ac:dyDescent="0.25">
      <c r="A2110" t="s">
        <v>22</v>
      </c>
      <c r="B2110" t="s">
        <v>23</v>
      </c>
      <c r="C2110" s="3">
        <v>44866</v>
      </c>
      <c r="D2110">
        <v>1212</v>
      </c>
    </row>
    <row r="2111" spans="1:4" x14ac:dyDescent="0.25">
      <c r="A2111" t="s">
        <v>22</v>
      </c>
      <c r="B2111" t="s">
        <v>23</v>
      </c>
      <c r="C2111" s="3">
        <v>44896</v>
      </c>
      <c r="D2111">
        <v>1212</v>
      </c>
    </row>
    <row r="2112" spans="1:4" x14ac:dyDescent="0.25">
      <c r="A2112" t="s">
        <v>22</v>
      </c>
      <c r="B2112" t="s">
        <v>23</v>
      </c>
      <c r="C2112" s="3">
        <v>44927</v>
      </c>
      <c r="D2112">
        <v>1302</v>
      </c>
    </row>
    <row r="2113" spans="1:4" x14ac:dyDescent="0.25">
      <c r="A2113" t="s">
        <v>22</v>
      </c>
      <c r="B2113" t="s">
        <v>23</v>
      </c>
      <c r="C2113" s="3">
        <v>44958</v>
      </c>
      <c r="D2113">
        <v>1302</v>
      </c>
    </row>
    <row r="2114" spans="1:4" x14ac:dyDescent="0.25">
      <c r="A2114" t="s">
        <v>22</v>
      </c>
      <c r="B2114" t="s">
        <v>23</v>
      </c>
      <c r="C2114" s="3">
        <v>44986</v>
      </c>
      <c r="D2114">
        <v>1302</v>
      </c>
    </row>
    <row r="2115" spans="1:4" x14ac:dyDescent="0.25">
      <c r="A2115" t="s">
        <v>22</v>
      </c>
      <c r="B2115" t="s">
        <v>23</v>
      </c>
      <c r="C2115" s="3">
        <v>45017</v>
      </c>
      <c r="D2115">
        <v>1302</v>
      </c>
    </row>
    <row r="2116" spans="1:4" x14ac:dyDescent="0.25">
      <c r="A2116" t="s">
        <v>22</v>
      </c>
      <c r="B2116" t="s">
        <v>23</v>
      </c>
      <c r="C2116" s="3">
        <v>45047</v>
      </c>
      <c r="D2116">
        <v>1320</v>
      </c>
    </row>
    <row r="2117" spans="1:4" x14ac:dyDescent="0.25">
      <c r="A2117" t="s">
        <v>22</v>
      </c>
      <c r="B2117" t="s">
        <v>23</v>
      </c>
      <c r="C2117" s="3">
        <v>45078</v>
      </c>
      <c r="D2117">
        <v>1320</v>
      </c>
    </row>
    <row r="2118" spans="1:4" x14ac:dyDescent="0.25">
      <c r="A2118" t="s">
        <v>22</v>
      </c>
      <c r="B2118" t="s">
        <v>23</v>
      </c>
      <c r="C2118" s="3">
        <v>45108</v>
      </c>
      <c r="D2118">
        <v>1320</v>
      </c>
    </row>
    <row r="2119" spans="1:4" x14ac:dyDescent="0.25">
      <c r="A2119" t="s">
        <v>22</v>
      </c>
      <c r="B2119" t="s">
        <v>23</v>
      </c>
      <c r="C2119" s="3">
        <v>45139</v>
      </c>
      <c r="D2119">
        <v>1320</v>
      </c>
    </row>
    <row r="2120" spans="1:4" x14ac:dyDescent="0.25">
      <c r="A2120" t="s">
        <v>22</v>
      </c>
      <c r="B2120" t="s">
        <v>23</v>
      </c>
      <c r="C2120" s="3">
        <v>45170</v>
      </c>
      <c r="D2120">
        <v>1320</v>
      </c>
    </row>
    <row r="2121" spans="1:4" x14ac:dyDescent="0.25">
      <c r="A2121" t="s">
        <v>22</v>
      </c>
      <c r="B2121" t="s">
        <v>23</v>
      </c>
      <c r="C2121" s="3">
        <v>45200</v>
      </c>
      <c r="D2121">
        <v>1320</v>
      </c>
    </row>
    <row r="2122" spans="1:4" x14ac:dyDescent="0.25">
      <c r="A2122" t="s">
        <v>22</v>
      </c>
      <c r="B2122" t="s">
        <v>23</v>
      </c>
      <c r="C2122" s="3">
        <v>45231</v>
      </c>
      <c r="D2122">
        <v>1320</v>
      </c>
    </row>
    <row r="2123" spans="1:4" x14ac:dyDescent="0.25">
      <c r="A2123" t="s">
        <v>22</v>
      </c>
      <c r="B2123" t="s">
        <v>23</v>
      </c>
      <c r="C2123" s="3">
        <v>45261</v>
      </c>
      <c r="D2123">
        <v>1320</v>
      </c>
    </row>
    <row r="2124" spans="1:4" x14ac:dyDescent="0.25">
      <c r="A2124" t="s">
        <v>22</v>
      </c>
      <c r="B2124" t="s">
        <v>23</v>
      </c>
      <c r="C2124" s="3">
        <v>45292</v>
      </c>
      <c r="D2124">
        <v>1412</v>
      </c>
    </row>
    <row r="2125" spans="1:4" x14ac:dyDescent="0.25">
      <c r="A2125" t="s">
        <v>22</v>
      </c>
      <c r="B2125" t="s">
        <v>23</v>
      </c>
      <c r="C2125" s="3">
        <v>45323</v>
      </c>
      <c r="D2125">
        <v>1412</v>
      </c>
    </row>
    <row r="2126" spans="1:4" x14ac:dyDescent="0.25">
      <c r="A2126" t="s">
        <v>22</v>
      </c>
      <c r="B2126" t="s">
        <v>23</v>
      </c>
      <c r="C2126" s="3">
        <v>45352</v>
      </c>
      <c r="D2126">
        <v>1412</v>
      </c>
    </row>
    <row r="2127" spans="1:4" x14ac:dyDescent="0.25">
      <c r="A2127" t="s">
        <v>22</v>
      </c>
      <c r="B2127" t="s">
        <v>23</v>
      </c>
      <c r="C2127" s="3">
        <v>45383</v>
      </c>
      <c r="D2127">
        <v>1412</v>
      </c>
    </row>
    <row r="2128" spans="1:4" x14ac:dyDescent="0.25">
      <c r="A2128" t="s">
        <v>22</v>
      </c>
      <c r="B2128" t="s">
        <v>23</v>
      </c>
      <c r="C2128" s="3">
        <v>45413</v>
      </c>
      <c r="D2128">
        <v>1412</v>
      </c>
    </row>
    <row r="2129" spans="1:4" x14ac:dyDescent="0.25">
      <c r="A2129" t="s">
        <v>22</v>
      </c>
      <c r="B2129" t="s">
        <v>23</v>
      </c>
      <c r="C2129" s="3">
        <v>45444</v>
      </c>
      <c r="D2129">
        <v>1412</v>
      </c>
    </row>
    <row r="2130" spans="1:4" x14ac:dyDescent="0.25">
      <c r="A2130" t="s">
        <v>22</v>
      </c>
      <c r="B2130" t="s">
        <v>23</v>
      </c>
      <c r="C2130" s="3">
        <v>45474</v>
      </c>
      <c r="D2130">
        <v>1412</v>
      </c>
    </row>
    <row r="2131" spans="1:4" x14ac:dyDescent="0.25">
      <c r="A2131" t="s">
        <v>22</v>
      </c>
      <c r="B2131" t="s">
        <v>23</v>
      </c>
      <c r="C2131" s="3">
        <v>45505</v>
      </c>
      <c r="D2131">
        <v>1412</v>
      </c>
    </row>
    <row r="2132" spans="1:4" x14ac:dyDescent="0.25">
      <c r="A2132" t="s">
        <v>22</v>
      </c>
      <c r="B2132" t="s">
        <v>23</v>
      </c>
      <c r="C2132" s="3">
        <v>45536</v>
      </c>
      <c r="D2132">
        <v>1412</v>
      </c>
    </row>
    <row r="2133" spans="1:4" x14ac:dyDescent="0.25">
      <c r="A2133" t="s">
        <v>22</v>
      </c>
      <c r="B2133" t="s">
        <v>23</v>
      </c>
      <c r="C2133" s="3">
        <v>45566</v>
      </c>
      <c r="D2133">
        <v>1412</v>
      </c>
    </row>
    <row r="2134" spans="1:4" x14ac:dyDescent="0.25">
      <c r="A2134" t="s">
        <v>22</v>
      </c>
      <c r="B2134" t="s">
        <v>23</v>
      </c>
      <c r="C2134" s="3">
        <v>45597</v>
      </c>
      <c r="D2134">
        <v>1412</v>
      </c>
    </row>
    <row r="2135" spans="1:4" x14ac:dyDescent="0.25">
      <c r="A2135" t="s">
        <v>22</v>
      </c>
      <c r="B2135" t="s">
        <v>23</v>
      </c>
      <c r="C2135" s="3">
        <v>45627</v>
      </c>
      <c r="D2135">
        <v>1412</v>
      </c>
    </row>
    <row r="2136" spans="1:4" x14ac:dyDescent="0.25">
      <c r="A2136" t="s">
        <v>22</v>
      </c>
      <c r="B2136" t="s">
        <v>23</v>
      </c>
      <c r="C2136" s="3">
        <v>45658</v>
      </c>
      <c r="D2136">
        <v>1518</v>
      </c>
    </row>
    <row r="2137" spans="1:4" x14ac:dyDescent="0.25">
      <c r="A2137" t="s">
        <v>22</v>
      </c>
      <c r="B2137" t="s">
        <v>23</v>
      </c>
      <c r="C2137" s="3">
        <v>45689</v>
      </c>
      <c r="D2137">
        <v>1518</v>
      </c>
    </row>
    <row r="2138" spans="1:4" x14ac:dyDescent="0.25">
      <c r="A2138" t="s">
        <v>22</v>
      </c>
      <c r="B2138" t="s">
        <v>23</v>
      </c>
      <c r="C2138" s="3">
        <v>45717</v>
      </c>
      <c r="D2138">
        <v>1518</v>
      </c>
    </row>
    <row r="2139" spans="1:4" x14ac:dyDescent="0.25">
      <c r="A2139" t="s">
        <v>22</v>
      </c>
      <c r="B2139" t="s">
        <v>23</v>
      </c>
      <c r="C2139" s="3">
        <v>45748</v>
      </c>
      <c r="D2139">
        <v>1518</v>
      </c>
    </row>
    <row r="2140" spans="1:4" x14ac:dyDescent="0.25">
      <c r="A2140" t="s">
        <v>22</v>
      </c>
      <c r="B2140" t="s">
        <v>23</v>
      </c>
      <c r="C2140" s="3">
        <v>45778</v>
      </c>
      <c r="D2140">
        <v>1518</v>
      </c>
    </row>
    <row r="2141" spans="1:4" x14ac:dyDescent="0.25">
      <c r="A2141" t="s">
        <v>22</v>
      </c>
      <c r="B2141" t="s">
        <v>23</v>
      </c>
      <c r="C2141" s="3">
        <v>45809</v>
      </c>
      <c r="D2141">
        <v>1518</v>
      </c>
    </row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D0CDE-DB1D-419E-A97F-8D15775507D2}">
  <dimension ref="A1:D18"/>
  <sheetViews>
    <sheetView zoomScale="95" zoomScaleNormal="95" workbookViewId="0"/>
  </sheetViews>
  <sheetFormatPr defaultRowHeight="15" x14ac:dyDescent="0.25"/>
  <cols>
    <col min="1" max="1" width="15.140625" customWidth="1"/>
    <col min="2" max="2" width="16.42578125" customWidth="1"/>
    <col min="3" max="3" width="11.85546875" customWidth="1"/>
    <col min="4" max="4" width="22.42578125" customWidth="1"/>
  </cols>
  <sheetData>
    <row r="1" spans="1:4" ht="15.75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>
        <v>7479</v>
      </c>
      <c r="B2" s="2" t="s">
        <v>4</v>
      </c>
      <c r="C2" s="2" t="s">
        <v>5</v>
      </c>
      <c r="D2" s="2" t="s">
        <v>6</v>
      </c>
    </row>
    <row r="3" spans="1:4" x14ac:dyDescent="0.25">
      <c r="A3" s="2">
        <v>7480</v>
      </c>
      <c r="B3" s="2" t="s">
        <v>7</v>
      </c>
      <c r="C3" s="2" t="s">
        <v>5</v>
      </c>
      <c r="D3" s="2" t="s">
        <v>6</v>
      </c>
    </row>
    <row r="4" spans="1:4" x14ac:dyDescent="0.25">
      <c r="A4" s="2">
        <v>7481</v>
      </c>
      <c r="B4" s="2" t="s">
        <v>8</v>
      </c>
      <c r="C4" s="2" t="s">
        <v>5</v>
      </c>
      <c r="D4" s="2" t="s">
        <v>6</v>
      </c>
    </row>
    <row r="5" spans="1:4" x14ac:dyDescent="0.25">
      <c r="A5" s="2">
        <v>7482</v>
      </c>
      <c r="B5" s="2" t="s">
        <v>9</v>
      </c>
      <c r="C5" s="2" t="s">
        <v>5</v>
      </c>
      <c r="D5" s="2" t="s">
        <v>6</v>
      </c>
    </row>
    <row r="6" spans="1:4" x14ac:dyDescent="0.25">
      <c r="A6" s="2">
        <v>7483</v>
      </c>
      <c r="B6" s="2" t="s">
        <v>10</v>
      </c>
      <c r="C6" s="2" t="s">
        <v>5</v>
      </c>
      <c r="D6" s="2" t="s">
        <v>6</v>
      </c>
    </row>
    <row r="7" spans="1:4" x14ac:dyDescent="0.25">
      <c r="A7" s="2">
        <v>7484</v>
      </c>
      <c r="B7" s="2" t="s">
        <v>11</v>
      </c>
      <c r="C7" s="2" t="s">
        <v>5</v>
      </c>
      <c r="D7" s="2" t="s">
        <v>6</v>
      </c>
    </row>
    <row r="8" spans="1:4" x14ac:dyDescent="0.25">
      <c r="A8" s="2">
        <v>7485</v>
      </c>
      <c r="B8" s="2" t="s">
        <v>12</v>
      </c>
      <c r="C8" s="2" t="s">
        <v>5</v>
      </c>
      <c r="D8" s="2" t="s">
        <v>6</v>
      </c>
    </row>
    <row r="9" spans="1:4" x14ac:dyDescent="0.25">
      <c r="A9" s="2">
        <v>7486</v>
      </c>
      <c r="B9" s="2" t="s">
        <v>13</v>
      </c>
      <c r="C9" s="2" t="s">
        <v>5</v>
      </c>
      <c r="D9" s="2" t="s">
        <v>6</v>
      </c>
    </row>
    <row r="10" spans="1:4" x14ac:dyDescent="0.25">
      <c r="A10" s="2">
        <v>7487</v>
      </c>
      <c r="B10" s="2" t="s">
        <v>14</v>
      </c>
      <c r="C10" s="2" t="s">
        <v>5</v>
      </c>
      <c r="D10" s="2" t="s">
        <v>6</v>
      </c>
    </row>
    <row r="11" spans="1:4" x14ac:dyDescent="0.25">
      <c r="A11" s="2">
        <v>7488</v>
      </c>
      <c r="B11" s="2" t="s">
        <v>15</v>
      </c>
      <c r="C11" s="2" t="s">
        <v>5</v>
      </c>
      <c r="D11" s="2" t="s">
        <v>6</v>
      </c>
    </row>
    <row r="12" spans="1:4" x14ac:dyDescent="0.25">
      <c r="A12" s="2">
        <v>7489</v>
      </c>
      <c r="B12" s="2" t="s">
        <v>16</v>
      </c>
      <c r="C12" s="2" t="s">
        <v>5</v>
      </c>
      <c r="D12" s="2" t="s">
        <v>6</v>
      </c>
    </row>
    <row r="13" spans="1:4" x14ac:dyDescent="0.25">
      <c r="A13" s="2">
        <v>7490</v>
      </c>
      <c r="B13" s="2" t="s">
        <v>17</v>
      </c>
      <c r="C13" s="2" t="s">
        <v>5</v>
      </c>
      <c r="D13" s="2" t="s">
        <v>6</v>
      </c>
    </row>
    <row r="14" spans="1:4" x14ac:dyDescent="0.25">
      <c r="A14" s="2">
        <v>7491</v>
      </c>
      <c r="B14" s="2" t="s">
        <v>18</v>
      </c>
      <c r="C14" s="2" t="s">
        <v>5</v>
      </c>
      <c r="D14" s="2" t="s">
        <v>6</v>
      </c>
    </row>
    <row r="15" spans="1:4" x14ac:dyDescent="0.25">
      <c r="A15" s="2">
        <v>7492</v>
      </c>
      <c r="B15" s="2" t="s">
        <v>19</v>
      </c>
      <c r="C15" s="2" t="s">
        <v>5</v>
      </c>
      <c r="D15" s="2" t="s">
        <v>6</v>
      </c>
    </row>
    <row r="16" spans="1:4" x14ac:dyDescent="0.25">
      <c r="A16" s="2">
        <v>7493</v>
      </c>
      <c r="B16" s="2" t="s">
        <v>20</v>
      </c>
      <c r="C16" s="2" t="s">
        <v>5</v>
      </c>
      <c r="D16" s="2" t="s">
        <v>6</v>
      </c>
    </row>
    <row r="17" spans="1:4" x14ac:dyDescent="0.25">
      <c r="A17" s="2">
        <v>7494</v>
      </c>
      <c r="B17" s="2" t="s">
        <v>21</v>
      </c>
      <c r="C17" s="2" t="s">
        <v>5</v>
      </c>
      <c r="D17" s="2" t="s">
        <v>6</v>
      </c>
    </row>
    <row r="18" spans="1:4" ht="30" x14ac:dyDescent="0.25">
      <c r="A18" s="2">
        <v>1619</v>
      </c>
      <c r="B18" s="2" t="s">
        <v>22</v>
      </c>
      <c r="C18" s="2" t="s">
        <v>23</v>
      </c>
      <c r="D18" s="2" t="s">
        <v>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5B09E4-3C44-4F1F-ADC1-F05E2D8D2F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checagem_linhas</vt:lpstr>
      <vt:lpstr>calculos</vt:lpstr>
      <vt:lpstr>ranking</vt:lpstr>
      <vt:lpstr>painel</vt:lpstr>
      <vt:lpstr>cesta_capitais</vt:lpstr>
      <vt:lpstr>salario_minimo</vt:lpstr>
      <vt:lpstr>base_cesta_salario</vt:lpstr>
      <vt:lpstr>dicionario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Jaquis</dc:creator>
  <cp:lastModifiedBy>Carlos Jaquis</cp:lastModifiedBy>
  <dcterms:created xsi:type="dcterms:W3CDTF">2026-10-22T16:16:38Z</dcterms:created>
  <dcterms:modified xsi:type="dcterms:W3CDTF">2026-10-28T13:47:42Z</dcterms:modified>
</cp:coreProperties>
</file>